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\VinRobotics\OJT\InternNav\internnav-s2-setup\docs\training_data_guide\"/>
    </mc:Choice>
  </mc:AlternateContent>
  <xr:revisionPtr revIDLastSave="0" documentId="8_{9A73BDCB-E20A-4273-A5E1-AF80122112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_LOG_QUAY" sheetId="1" r:id="rId1"/>
    <sheet name="2_CAU_HINH_CAMERA" sheetId="2" r:id="rId2"/>
    <sheet name="3_MOC_VAN_PHONG" sheetId="3" r:id="rId3"/>
    <sheet name="4_HUONG_DAN_QUAY" sheetId="4" r:id="rId4"/>
  </sheets>
  <definedNames>
    <definedName name="_xlnm._FilterDatabase" localSheetId="0" hidden="1">'1_LOG_QUAY'!$A$2:$W$202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B15" i="2"/>
  <c r="B14" i="2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B24" i="2" l="1"/>
  <c r="B23" i="2"/>
  <c r="B22" i="2"/>
</calcChain>
</file>

<file path=xl/sharedStrings.xml><?xml version="1.0" encoding="utf-8"?>
<sst xmlns="http://schemas.openxmlformats.org/spreadsheetml/2006/main" count="262" uniqueCount="246">
  <si>
    <t>① TRƯỚC KHI QUAY — kịch bản (viết ở nhà)</t>
  </si>
  <si>
    <t>② TRONG LÚC QUAY — log hiện trường</t>
  </si>
  <si>
    <t>③ SAU KHI QUAY — xem lại &amp; CHỐT NHÃN</t>
  </si>
  <si>
    <t>④ KIỂM ĐỊNH PIPELINE</t>
  </si>
  <si>
    <t>⑤ XUẤT RA</t>
  </si>
  <si>
    <t>run_id</t>
  </si>
  <si>
    <t>Ngày</t>
  </si>
  <si>
    <t>Khu vực / tầng</t>
  </si>
  <si>
    <t>Lộ trình dự kiến (các mốc)</t>
  </si>
  <si>
    <t>Số cú rẽ
dự kiến</t>
  </si>
  <si>
    <t>Instruction NHÁP (EN)</t>
  </si>
  <si>
    <t>Giờ bắt đầu</t>
  </si>
  <si>
    <t>Giờ kết thúc</t>
  </si>
  <si>
    <t>Tên file bag / video</t>
  </si>
  <si>
    <t>Kết quả</t>
  </si>
  <si>
    <t>Lý do hỏng</t>
  </si>
  <si>
    <t>Lộ trình THỰC TẾ
(nếu khác dự kiến)</t>
  </si>
  <si>
    <t>✅ Instruction CHỐT (EN)  ← nhãn thật</t>
  </si>
  <si>
    <t>Paraphrase 2 (EN)</t>
  </si>
  <si>
    <t>Paraphrase 3 (EN)</t>
  </si>
  <si>
    <t>Khớp nhãn?</t>
  </si>
  <si>
    <t>Đã chạy
db32s2?</t>
  </si>
  <si>
    <t>Số frame</t>
  </si>
  <si>
    <t>Số mẫu train
(len dataset)</t>
  </si>
  <si>
    <t>Có frame
rel_id ≥ 3?</t>
  </si>
  <si>
    <t>goal toàn
[-1,-1]?</t>
  </si>
  <si>
    <t>tasks[0] ghép sẵn  ← copy thẳng vào episodes.jsonl</t>
  </si>
  <si>
    <t>Ghi chú</t>
  </si>
  <si>
    <t>run_01</t>
  </si>
  <si>
    <t>2026-08-05</t>
  </si>
  <si>
    <t>Tầng 3 - khu A</t>
  </si>
  <si>
    <t>Bàn làm việc → máy pha cà phê → cửa kính (rẽ phải) → tủ đỏ</t>
  </si>
  <si>
    <t>Walk past the coffee machine, turn right at the glass door, and stop in front of the red lockers.</t>
  </si>
  <si>
    <t>14:02:10</t>
  </si>
  <si>
    <t>14:02:48</t>
  </si>
  <si>
    <t>office_2026_08_05-14_02_10</t>
  </si>
  <si>
    <t>OK</t>
  </si>
  <si>
    <t>Đúng như dự kiến</t>
  </si>
  <si>
    <t>Head toward the pantry, take a right through the glass door, and wait by the red cabinets.</t>
  </si>
  <si>
    <t>Go straight until you reach the glass door, turn right, then stop in front of the lockers.</t>
  </si>
  <si>
    <t>Khớp</t>
  </si>
  <si>
    <t>Rồi</t>
  </si>
  <si>
    <t>Có</t>
  </si>
  <si>
    <t>Không</t>
  </si>
  <si>
    <t>VÍ DỤ — xoá dòng này khi bắt đầu dùng thật</t>
  </si>
  <si>
    <t>⚠️ CHỐT MỘT LẦN TRƯỚC KHI QUAY — quay xong rồi thì KHÔNG sửa được nữa</t>
  </si>
  <si>
    <t>Mục</t>
  </si>
  <si>
    <t>Giá trị của bạn</t>
  </si>
  <si>
    <t>Giải thích / ràng buộc</t>
  </si>
  <si>
    <t>A. THIẾT BỊ</t>
  </si>
  <si>
    <t>Thiết bị quay</t>
  </si>
  <si>
    <t>Điện thoại (ARKit/ARCore) HOẶC camera robot ghi ROS 2 (.mcap/.db3). Quyết định này đổi cách lấy pose và K.</t>
  </si>
  <si>
    <t>Độ phân giải ảnh</t>
  </si>
  <si>
    <t>640 x 480</t>
  </si>
  <si>
    <t>Đúng bằng data gốc. Model TỰ resize về 384x384 — ĐỪNG resize trước.</t>
  </si>
  <si>
    <t>FPS quay</t>
  </si>
  <si>
    <t>15</t>
  </si>
  <si>
    <t>15-30 đều được. Ghi lại để tính timestamp.</t>
  </si>
  <si>
    <t>Nguồn pose 4x4</t>
  </si>
  <si>
    <t>Điện thoại: ARKit/ARCore. ROS 2: tf từ ORB-SLAM3 / RTAB-Map / KISS-ICP.</t>
  </si>
  <si>
    <t>Nguồn intrinsic K</t>
  </si>
  <si>
    <t>Điện thoại: EXIF/ARKit. ROS 2: topic camera_info.</t>
  </si>
  <si>
    <t>Nguồn depth</t>
  </si>
  <si>
    <t>Camera RGB-D, hoặc DepthAnythingV2 (uint16 mm), hoặc ảnh giữ chỗ nếu CHỈ train S2.</t>
  </si>
  <si>
    <t>B. HÌNH HỌC CAMERA  (phần dễ mất trắng cả buổi quay nhất)</t>
  </si>
  <si>
    <t>Chiều cao camera H (cm)</t>
  </si>
  <si>
    <t>Phải KHỚP chiều cao camera của robot lúc chạy thật. Data gốc chỉ có 60 và 125.</t>
  </si>
  <si>
    <t>pitch_1 — góc nhìn thẳng (độ)</t>
  </si>
  <si>
    <t>Nếu để pitch_1 = pitch_2 thì chỉ cần 1 camera, ảnh thẳng và ảnh cúi là cùng file.</t>
  </si>
  <si>
    <t>pitch_2 — góc CÚI (độ)</t>
  </si>
  <si>
    <t>🚨 BẮT BUỘC thuộc {15, 30, 45}. KHÔNG BAO GIỜ để 0 — camera nhìn thẳng thì goal toàn [-1,-1], data vô dụng.</t>
  </si>
  <si>
    <t>→ setting (tự tính)</t>
  </si>
  <si>
    <t>Chuỗi này là HẬU TỐ tên cột parquet. Sai một chữ là loader bỏ nguyên scene, không báo lỗi.</t>
  </si>
  <si>
    <t>Số camera thật cần</t>
  </si>
  <si>
    <t>pitch_1 = pitch_2 → 1 camera. Khác nhau → 2 camera chụp đồng thời (hoặc 1 camera biết cúi).</t>
  </si>
  <si>
    <t>Camera thấy sàn cách bao xa?</t>
  </si>
  <si>
    <t>Phải thấy sàn phía trước ~2-3 m. Kiểm tra bằng mắt TRƯỚC khi quay lượt đầu.</t>
  </si>
  <si>
    <t>Cách cố định camera</t>
  </si>
  <si>
    <t>Gậy/giá đỡ có đánh dấu sẵn chiều cao + góc. Cầm tay tuỳ hứng = hỏng cả buổi.</t>
  </si>
  <si>
    <t>C. ĐẶT TÊN DATASET</t>
  </si>
  <si>
    <t>dataset name</t>
  </si>
  <si>
    <t>vinbot_office</t>
  </si>
  <si>
    <t>Tên thư mục traj_data/&lt;dataset&gt;/</t>
  </si>
  <si>
    <t>scene_id</t>
  </si>
  <si>
    <t>office_floor3</t>
  </si>
  <si>
    <t>Mỗi scene là một dataset LeRobot ĐỘC LẬP (episode_index đánh lại từ 0).</t>
  </si>
  <si>
    <t>key trong data_dict</t>
  </si>
  <si>
    <t>Tên đăng ký trong internvla_n1_lerobot_dataset.py, trỏ bằng --vln_dataset_use.</t>
  </si>
  <si>
    <t>→ cột goal</t>
  </si>
  <si>
    <t>Copy nguyên chuỗi này khi ghi parquet.</t>
  </si>
  <si>
    <t>→ cột relative_goal_frame_id</t>
  </si>
  <si>
    <t>→ cột pose</t>
  </si>
  <si>
    <t>Cột này BẮT BUỘC tồn tại kể cả khi train S2 thuần (thiếu → NameError → bỏ nguyên scene).</t>
  </si>
  <si>
    <t>⚠️ Đường dẫn thư mục cha</t>
  </si>
  <si>
    <t>KHÔNG được chứa chữ 'rgb' (vd /data/rgb_logs/). Loader dựng đường dẫn depth bằng .replace('rgb','depth') trên TOÀN BỘ đường dẫn.</t>
  </si>
  <si>
    <t>D. THAM SỐ PIPELINE (db32s2.py / mcap2s2.py)</t>
  </si>
  <si>
    <t>--min-move</t>
  </si>
  <si>
    <t>Ngưỡng mét để coi là đã di chuyển giữa 2 frame.</t>
  </si>
  <si>
    <t>--subgoal-dist</t>
  </si>
  <si>
    <t>Cứ mỗi X mét đặt thêm 1 sub-goal. Bag đi thẳng dài mà chỉ ra 1 sub-goal → giảm giá trị này.</t>
  </si>
  <si>
    <t>--split-sec</t>
  </si>
  <si>
    <t>Chỉ dùng nếu một bag chứa nhiều lượt đi — cắt thành nhiều episode.</t>
  </si>
  <si>
    <t>--instruction-file</t>
  </si>
  <si>
    <t>instructions.json</t>
  </si>
  <si>
    <t>JSON {"0": "câu lệnh ep 0", "1": "..."} — lấy từ cột V của sheet 1_LOG_QUAY.</t>
  </si>
  <si>
    <t>TỪ VỰNG MỐC — làm TRƯỚC khi viết instruction. Mọi câu lệnh chỉ được dùng mốc trong bảng này.</t>
  </si>
  <si>
    <t>STT</t>
  </si>
  <si>
    <t>Mốc (tiếng Việt)</t>
  </si>
  <si>
    <t>Tên tiếng Anh dùng trong instruction</t>
  </si>
  <si>
    <t>Dễ nhận ra từ xa?</t>
  </si>
  <si>
    <t>Máy pha cà phê</t>
  </si>
  <si>
    <t>the coffee machine</t>
  </si>
  <si>
    <t>Tầng 3 - pantry</t>
  </si>
  <si>
    <t>VÍ DỤ — thay bằng mốc thật</t>
  </si>
  <si>
    <t>Cửa kính lối vào</t>
  </si>
  <si>
    <t>the glass door</t>
  </si>
  <si>
    <t>VÍ DỤ</t>
  </si>
  <si>
    <t>Tủ locker đỏ</t>
  </si>
  <si>
    <t>the red lockers</t>
  </si>
  <si>
    <t>Tầng 3 - hành lang</t>
  </si>
  <si>
    <t>Dãy bàn làm việc</t>
  </si>
  <si>
    <t>the row of workbenches</t>
  </si>
  <si>
    <t>Cây cảnh góc phòng</t>
  </si>
  <si>
    <t>the potted plant in the corner</t>
  </si>
  <si>
    <t>Tầng 3 - khu B</t>
  </si>
  <si>
    <t>Vừa</t>
  </si>
  <si>
    <t>HƯỚNG DẪN QUAY DATA TRAIN SYSTEM 2 — mở sheet này trên điện thoại lúc đang quay</t>
  </si>
  <si>
    <t>0. NGUYÊN TẮC CỐT LÕI — instruction là HAI thứ khác nhau</t>
  </si>
  <si>
    <t>Viết TRƯỚC khi quay</t>
  </si>
  <si>
    <t>Viết/sửa SAU khi quay</t>
  </si>
  <si>
    <t>→ Kết luận</t>
  </si>
  <si>
    <t>Viết nháp trước → quay theo nháp → xem lại footage → SỬA instruction cho khớp thực tế → mới đóng gói.</t>
  </si>
  <si>
    <t>1. QUY TRÌNH 5 BƯỚC</t>
  </si>
  <si>
    <t>Bước 1 — Khảo sát (nửa buổi, không cầm máy)</t>
  </si>
  <si>
    <t>Đi một vòng văn phòng, liệt kê các mốc NHÌN THẤY ĐƯỢC và GỌI TÊN ĐƯỢC: cửa kính, máy pha cà phê, dãy bàn, tủ đỏ, cầu thang, cây cảnh.
→ Điền vào sheet 3_MOC_VAN_PHONG. Đây là 'từ vựng' cho toàn bộ instruction về sau.</t>
  </si>
  <si>
    <t>Bước 2 — Thiết kế 20-40 lộ trình</t>
  </si>
  <si>
    <t>Mỗi lộ trình = 2-4 chặng, mỗi chặng kết thúc ở một mốc, có ÍT NHẤT 1-2 cú rẽ.
Viết luôn instruction nháp tiếng Anh vào cột F của sheet 1_LOG_QUAY.
Phép thử: đưa câu lệnh cho một người lạ, họ phải đi đúng đường đó. Không đi được → chưa đủ mốc.</t>
  </si>
  <si>
    <t>Bước 3 — Chốt cấu hình camera (MỘT LẦN)</t>
  </si>
  <si>
    <t>Điền sheet 2_CAU_HINH_CAMERA. Đây là quyết định KHÔNG SỬA ĐƯỢC sau khi quay — xem mục 2 bên dưới.</t>
  </si>
  <si>
    <t>Bước 4 — Quay, mỗi lượt một episode</t>
  </si>
  <si>
    <t>Xem checklist mục 3, 4, 5 bên dưới.</t>
  </si>
  <si>
    <t>Bước 5 — Về nhà: xem lại từng lượt</t>
  </si>
  <si>
    <t>Mở video, đối chiếu với câu nháp (cột F). Sửa chỗ lệch → ghi vào cột M 'Instruction CHỐT'. ĐÂY mới là câu đi vào episodes.jsonl.</t>
  </si>
  <si>
    <t>Camera PHẢI chúc xuống</t>
  </si>
  <si>
    <t>Đủ thấy sàn phía trước ~2-3 m. pitch_2 bắt buộc thuộc {15°, 30°, 45°}.
Camera nhìn thẳng (0°) → waypoint trên sàn rơi ra ngoài khung → goal TOÀN [-1,-1] → không có mẫu pixel_goal → DATA VÔ DỤNG. Đo thật trên setting 125cm_0deg: toàn -1.</t>
  </si>
  <si>
    <t>Chiều cao + góc phải khớp robot thật</t>
  </si>
  <si>
    <t>NGUYÊN TẮC VÀNG: cấu hình camera lúc quay data phải khớp cấu hình lúc robot chạy thật.
Robot humanoid trong bag .db3 có camera waist ~0.98 m cúi 30° → nên quay ở ~100 cm / 30°, ĐỪNG quay ở tầm mắt 160 cm.</t>
  </si>
  <si>
    <t>Cố định cứng, đừng cầm tay tuỳ hứng</t>
  </si>
  <si>
    <t>Làm gậy/giá đỡ có đánh dấu sẵn chiều cao và góc cúi. Mỗi lượt kiểm lại trước khi bấm quay.</t>
  </si>
  <si>
    <t>Cấu hình đơn giản nhất cho lần đầu</t>
  </si>
  <si>
    <t>1 camera, một góc cố định, chọn pitch_1 = pitch_2 (ví dụ 60cm_30_30).
Khi đó loader thay chuỗi '_30deg' → '_30deg' không đổi gì → ảnh 'nhìn thẳng' và ảnh 'nhìn cúi' LÀ CÙNG MỘT FILE. Chỉ cần 1 thư mục RGB + 1 thư mục depth.</t>
  </si>
  <si>
    <t>3. CHECKLIST TRƯỚC MỖI LƯỢT QUAY</t>
  </si>
  <si>
    <t>☐ 1</t>
  </si>
  <si>
    <t>Kiểm chiều cao + góc cúi camera vẫn đúng như sheet 2 (giá đỡ có bị xê dịch không?).</t>
  </si>
  <si>
    <t>☐ 2</t>
  </si>
  <si>
    <t>Đọc lại instruction nháp của lượt này, nhẩm đường đi trong đầu.</t>
  </si>
  <si>
    <t>☐ 3</t>
  </si>
  <si>
    <t>Nhìn dọc lộ trình — có ai/vật gì đang chắn không? Chờ cho trống.</t>
  </si>
  <si>
    <t>☐ 4</t>
  </si>
  <si>
    <t>Bấm quay, ĐỨNG YÊN 2 GIÂY trước khi bước.</t>
  </si>
  <si>
    <t>☐ 5</t>
  </si>
  <si>
    <t>Giơ tờ giấy ghi run_id trước ống kính (hoặc đọc to số + câu lệnh vào mic).
→ Log robot KHÔNG có topic /task/episode. Đây là cách duy nhất để cắt episode và ghép đúng câu lệnh về sau.</t>
  </si>
  <si>
    <t>☐ 6</t>
  </si>
  <si>
    <t>Ghi giờ bắt đầu vào cột G của sheet 1_LOG_QUAY.</t>
  </si>
  <si>
    <t>4. CHECKLIST TRONG LÚC ĐI</t>
  </si>
  <si>
    <t>☐ Tốc độ</t>
  </si>
  <si>
    <t>Đi ĐỀU và CHẬM hơn bình thường. Đi nhanh → ít frame, chuyển động giữa 2 frame quá lớn.</t>
  </si>
  <si>
    <t>☐ Chỗ rẽ</t>
  </si>
  <si>
    <t>DỪNG LẠI, XOAY TẠI CHỖ, rồi mới đi tiếp.
Cú xoay rõ ràng thì action = 2 (trái) / 3 (phải) mới suy đúng. Rẽ kiểu 'vòng cung' vừa đi vừa xoay → nhãn action nhoè.</t>
  </si>
  <si>
    <t>☐ Ống kính</t>
  </si>
  <si>
    <t>Giữ hướng ổn định, không lắc, không quay ngang nhìn linh tinh.</t>
  </si>
  <si>
    <t>☐ Kết thúc</t>
  </si>
  <si>
    <t>DỪNG HẲN 2 GIÂY ở đúng đích rồi mới tắt máy → frame STOP sạch.</t>
  </si>
  <si>
    <t>☐ Đi hỏng?</t>
  </si>
  <si>
    <t>Có người chắn / rẽ nhầm / quên dừng → QUAY LẠI TỪ ĐẦU. Đừng cố cứu.
Quay lại 40 giây rẻ hơn nhiều so với sửa nhãn sai sau này (hoặc tệ hơn: không phát hiện ra).</t>
  </si>
  <si>
    <t>5. CHECKLIST NGAY SAU MỖI LƯỢT</t>
  </si>
  <si>
    <t>Ghi giờ kết thúc + tên file bag/video vào cột H, I.</t>
  </si>
  <si>
    <t>Đánh dấu cột J: OK / Hỏng - quay lại / Hỏng - bỏ.</t>
  </si>
  <si>
    <t>Nếu lộ trình thực tế KHÁC dự kiến → ghi ngay vào cột L khi còn nhớ. Đây là thông tin sẽ mất nếu để tối về mới ghi.</t>
  </si>
  <si>
    <t>6. CÁCH VIẾT INSTRUCTION TỐT</t>
  </si>
  <si>
    <t>Mẫu chuẩn của data gốc</t>
  </si>
  <si>
    <t>"Exit the bedroom, enter the bathroom, wait at the toilet."
"You are facing toward the entrance of the church, turn around and stop in between the steps..."
→ Đặc điểm: 2-4 mốc NHÌN THẤY ĐƯỢC, mỗi mốc là một điểm quyết định, kết thúc bằng điều kiện dừng rõ ràng.</t>
  </si>
  <si>
    <t>✅ NÊN</t>
  </si>
  <si>
    <t>• Tiếng Anh tự nhiên, khoảng 15-40 từ.
• Neo vào vật thể nhìn thấy được: 'past the coffee machine', 'at the glass door', 'in front of the red lockers'.
• Có điều kiện dừng cụ thể: 'stop in front of...', 'wait by...'.
• Chỉ dùng mốc đã có trong sheet 3_MOC_VAN_PHONG.</t>
  </si>
  <si>
    <t>❌ KHÔNG NÊN</t>
  </si>
  <si>
    <t>• Chung chung: 'Go forward and turn right' — không neo vào gì cả, model học được rất ít.
• Dùng số đo: 'walk 5 meters then turn' — model không biết mét, nó nhìn ảnh.
• Dùng mốc không nhìn thấy trong khung hình: 'go to my desk' (không ai biết bàn nào).
• Dùng hướng tuyệt đối: 'go north' — model không có la bàn.
• Để trống: câu lệnh rỗng = mẫu vô nghĩa, model không có gì để bám.</t>
  </si>
  <si>
    <t>7. HAI MẸO NHÂN ĐÔI GIÁ TRỊ BUỔI QUAY</t>
  </si>
  <si>
    <t>Mẹo 1 — Paraphrase (nhân 2-3x MIỄN PHÍ)</t>
  </si>
  <si>
    <t>Loader tách tasks[0] theo &lt;INSTRUCTION_SEP&gt; và biến MỖI CÂU thành MỘT EPISODE RIÊNG trong tập train.
→ Viết 2-3 cách diễn đạt cho cùng một video (cột M, N, O của sheet 1) = 2-3x data, không tốn thêm giây quay nào.
Cột V của sheet 1 đã tự ghép sẵn chuỗi đúng định dạng — copy thẳng ra dùng.
Đây cũng là thứ cần dạy: nhiều cách nói khác nhau cùng chỉ một hành động.</t>
  </si>
  <si>
    <t>Mẹo 2 — Quay ngược chiều</t>
  </si>
  <si>
    <t>Mỗi lộ trình đi ngược lại là một episode HOÀN TOÀN MỚI (khung cảnh khác hẳn), chỉ tốn thêm ~1 phút.</t>
  </si>
  <si>
    <t>8. 🚨 BẮT BUỘC: PILOT RUN TRƯỚC NGÀY QUAY CHÍNH</t>
  </si>
  <si>
    <t>Quay đúng 1 lượt ngắn (30 giây), mang về đẩy TRỌN pipeline</t>
  </si>
  <si>
    <t>db32s2.py → kiểm định bằng chính loader thật (không cần GPU).
Chỉ cần thấy 3 điều:
  1. len(NavPixelGoalDataset(...)) &gt; 0
  2. Có ÍT NHẤT một frame relative_goal_frame_id &gt;= 3   (0 &lt; k &lt; 3 bị bỏ → 0 mẫu pixel_goal)
  3. goal KHÔNG phải toàn [-1,-1]   (toàn -1 = camera chưa cúi đủ)
Bỏ qua bước này mà góc camera sai → mất trắng cả buổi quay 3 tiếng. Đây là lỗi phổ biến nhất.</t>
  </si>
  <si>
    <t>9. BẢNG TRA NHANH — mã action &amp; goal</t>
  </si>
  <si>
    <t>action (int32, mỗi frame)</t>
  </si>
  <si>
    <t>-1 = frame khởi đầu (loại khỏi thống kê độ chính xác)   |   0 = STOP   |   1 = ↑ tiến
 2 = ← rẽ trái   |   3 = → rẽ phải   |   5 = ↓ cúi nhìn sàn</t>
  </si>
  <si>
    <t>goal.{setting} — [u, v]</t>
  </si>
  <si>
    <t>u = CỘT, v = HÀNG (không phải [hàng, cột]!). [-1,-1] = frame này không thấy đích.</t>
  </si>
  <si>
    <t>relative_goal_frame_id.{setting}</t>
  </si>
  <si>
    <t>k = còn bao nhiêu frame nữa tới đích.
  k = -1     → không có đích → mẫu 'turn'
  0 &lt; k &lt; 3  → đích quá gần → BỊ BỎ
  k &gt;= 3     → mẫu 'pixel_goal' hợp lệ (cửa sổ [t, t+k+1])</t>
  </si>
  <si>
    <t>S2 học 3 kiểu trả lời</t>
  </si>
  <si>
    <t>1. 'Đi tới điểm này' → xuất ↓ rồi toạ độ pixel u v (pixel goal — câu trả lời quan trọng nhất)
2. 'Quay đã'         → xuất chuỗi ←/→ khi chưa thấy đích
3. 'Xong rồi'        → xuất STOP</t>
  </si>
  <si>
    <t>10. BẪY IM LẶNG — sai mà KHÔNG có lỗi nào báo ra</t>
  </si>
  <si>
    <t>☐ Camera không cúi đủ</t>
  </si>
  <si>
    <t>goal toàn -1 → 0 mẫu pixel_goal. Kiểm bằng pilot run.</t>
  </si>
  <si>
    <t>☐ Instruction không khớp video</t>
  </si>
  <si>
    <t>Model học cặp mâu thuẫn. Kiểm bằng cách xem lại footage.</t>
  </si>
  <si>
    <t>☐ Lệch thời gian RGB ↔ depth ↔ pose</t>
  </si>
  <si>
    <t>Loại sai im lặng nhất. Trong cùng một lượt quay phải đồng bộ.</t>
  </si>
  <si>
    <t>☐ dtype parquet sai</t>
  </si>
  <si>
    <t>Ghi bằng kiểu Python thuần (int, list) thay vì numpy → .tolist() ném AttributeError → bị try/except nuốt → BỎ NGUYÊN SCENE, dataset rỗng, không traceback. Phải dùng pyarrow: int32 / list&lt;list&lt;float32&gt;&gt; / fixed_size_list&lt;int32&gt;[2].</t>
  </si>
  <si>
    <t>☐ Thiếu cột pose.{setting}</t>
  </si>
  <si>
    <t>Kể cả train S2 thuần vẫn BẮT BUỘC có cột này (giá trị có thể là ma trận đơn vị). Thiếu → NameError → bỏ nguyên scene.</t>
  </si>
  <si>
    <t>☐ Thư mục cha chứa chữ 'rgb'</t>
  </si>
  <si>
    <t>Loader dựng đường dẫn depth bằng .replace('rgb','depth') trên TOÀN BỘ đường dẫn → hỏng.</t>
  </si>
  <si>
    <t>☐ Sai đơn vị depth</t>
  </si>
  <si>
    <t>S2 chia 1000 (milimét), S1 chia 10000. Sai hằng số → độ sâu lệch 10 lần, không lỗi nào báo.</t>
  </si>
  <si>
    <t>☐ Depth sai định dạng</t>
  </si>
  <si>
    <t>Phải là PNG uint16 MILIMÉT, không phải float mét.</t>
  </si>
  <si>
    <t>☐ length trong episodes.jsonl</t>
  </si>
  <si>
    <t>Phải BẰNG ĐÚNG số hàng parquet — có assert.</t>
  </si>
  <si>
    <t>☐ Tên file ảnh</t>
  </si>
  <si>
    <t>S2: episode_000000_12.jpg — số frame KHÔNG đệm số 0. RGB .jpg, depth .png.</t>
  </si>
  <si>
    <t>☐ Đừng resize ảnh trước</t>
  </si>
  <si>
    <t>Giữ 640x480. Model tự resize về 384x384.</t>
  </si>
  <si>
    <t>11. LỆNH PIPELINE</t>
  </si>
  <si>
    <t>Kiểm tra bag trước</t>
  </si>
  <si>
    <t>python3 ROS2/tools/inspect_bag.py &lt;path&gt;
→ In ra đúng danh sách công cụ đọc được (.mcap kiểu rosbag2 vs kiểu Foxglove là hai thứ khác nhau).</t>
  </si>
  <si>
    <t>Soi bag</t>
  </si>
  <si>
    <t>cd docs/training_data_guide/tools
python db32s2.py --bag &lt;ten_bag&gt; --inspect</t>
  </si>
  <si>
    <t>Sinh dataset S2</t>
  </si>
  <si>
    <t>python db32s2.py --bag &lt;ten_bag&gt; \
    --out ./traj_data --dataset-name vinbot --scene-id office_floor3 \
    --min-move 0.15 --subgoal-dist 1.0 \
    --instruction-file instructions.json</t>
  </si>
  <si>
    <t>{"0": "&lt;dán từ cột V sheet 1&gt;", "1": "..."}</t>
  </si>
  <si>
    <t>12. THAM CHIẾU TÀI LIỆU</t>
  </si>
  <si>
    <t>Bộ tài liệu chuẩn</t>
  </si>
  <si>
    <t>InternNav/internnav-s2-setup/docs/training_data_guide/</t>
  </si>
  <si>
    <t>04_data_train_s2.md</t>
  </si>
  <si>
    <t>Format data S2: cây thư mục, cột parquet, dtype, pose, instruction, checklist trước khi train.</t>
  </si>
  <si>
    <t>08_phu_luc_thu_thap_data.md</t>
  </si>
  <si>
    <t>Thu thập data: 7 nguyên liệu, 3 cấp thiết bị, cần bao nhiêu camera, lộ trình đề xuất, checklist bẫy.</t>
  </si>
  <si>
    <t>06c_pipeline_db3_to_s2.md</t>
  </si>
  <si>
    <t>Pipeline .db3 → S2 (bag ROS 2 thật).</t>
  </si>
  <si>
    <t>06_pipeline_mcap_to_s2.md</t>
  </si>
  <si>
    <t>Pipeline .mcap → S2.</t>
  </si>
  <si>
    <t>2. QUYẾT ĐỊNH KHÔNG SỬA ĐƯỢC SAU KHI QUAY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</si>
</sst>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sz val="9"/>
      <color rgb="FF404040"/>
      <name val="Calibri"/>
    </font>
    <font>
      <b/>
      <sz val="13"/>
      <color rgb="FFFFFFFF"/>
      <name val="Calibri"/>
    </font>
    <font>
      <sz val="10"/>
      <name val="Calibri"/>
    </font>
    <font>
      <sz val="10"/>
      <name val="Consolas"/>
    </font>
  </fonts>
  <fills count="18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BF8F00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FC7CE"/>
      </patternFill>
    </fill>
    <fill>
      <patternFill patternType="solid">
        <fgColor rgb="FFFFF0F0"/>
      </patternFill>
    </fill>
    <fill>
      <patternFill patternType="solid">
        <fgColor rgb="FFC6EFCE"/>
      </patternFill>
    </fill>
    <fill>
      <patternFill patternType="solid">
        <fgColor rgb="FFF0FFF0"/>
      </patternFill>
    </fill>
    <fill>
      <patternFill patternType="solid">
        <fgColor rgb="FFEDEDED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11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5" fillId="10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12" borderId="1" xfId="0" applyFont="1" applyFill="1" applyBorder="1" applyAlignment="1">
      <alignment vertical="top" wrapText="1"/>
    </xf>
    <xf numFmtId="0" fontId="9" fillId="13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9" fillId="15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vertical="top" wrapText="1"/>
    </xf>
    <xf numFmtId="0" fontId="10" fillId="17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2" fillId="10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2"/>
  <sheetViews>
    <sheetView tabSelected="1" zoomScale="90" workbookViewId="0">
      <pane xSplit="2" ySplit="2" topLeftCell="C3" activePane="bottomRight" state="frozen"/>
      <selection pane="topRight"/>
      <selection pane="bottomLeft"/>
      <selection pane="bottomRight" activeCell="F3" sqref="F3"/>
    </sheetView>
  </sheetViews>
  <sheetFormatPr defaultRowHeight="15" x14ac:dyDescent="0.25"/>
  <cols>
    <col min="1" max="1" width="12" customWidth="1"/>
    <col min="2" max="2" width="11" customWidth="1"/>
    <col min="3" max="3" width="16" customWidth="1"/>
    <col min="4" max="4" width="34" customWidth="1"/>
    <col min="5" max="5" width="9" customWidth="1"/>
    <col min="6" max="6" width="46" customWidth="1"/>
    <col min="7" max="8" width="11" customWidth="1"/>
    <col min="9" max="9" width="26" customWidth="1"/>
    <col min="10" max="10" width="16" customWidth="1"/>
    <col min="11" max="11" width="24" customWidth="1"/>
    <col min="12" max="12" width="30" customWidth="1"/>
    <col min="13" max="13" width="50" customWidth="1"/>
    <col min="14" max="15" width="44" customWidth="1"/>
    <col min="16" max="16" width="13" customWidth="1"/>
    <col min="17" max="17" width="11" customWidth="1"/>
    <col min="18" max="18" width="10" customWidth="1"/>
    <col min="19" max="19" width="13" customWidth="1"/>
    <col min="20" max="20" width="11" customWidth="1"/>
    <col min="21" max="21" width="13" customWidth="1"/>
    <col min="22" max="22" width="60" customWidth="1"/>
    <col min="23" max="23" width="30" customWidth="1"/>
  </cols>
  <sheetData>
    <row r="1" spans="1:23" ht="21.95" customHeight="1" x14ac:dyDescent="0.25">
      <c r="A1" s="21" t="s">
        <v>0</v>
      </c>
      <c r="B1" s="22"/>
      <c r="C1" s="22"/>
      <c r="D1" s="22"/>
      <c r="E1" s="22"/>
      <c r="F1" s="22"/>
      <c r="G1" s="21" t="s">
        <v>1</v>
      </c>
      <c r="H1" s="22"/>
      <c r="I1" s="22"/>
      <c r="J1" s="22"/>
      <c r="K1" s="22"/>
      <c r="L1" s="21" t="s">
        <v>2</v>
      </c>
      <c r="M1" s="22"/>
      <c r="N1" s="22"/>
      <c r="O1" s="22"/>
      <c r="P1" s="22"/>
      <c r="Q1" s="21" t="s">
        <v>3</v>
      </c>
      <c r="R1" s="22"/>
      <c r="S1" s="22"/>
      <c r="T1" s="22"/>
      <c r="U1" s="22"/>
      <c r="V1" s="21" t="s">
        <v>4</v>
      </c>
      <c r="W1" s="22"/>
    </row>
    <row r="2" spans="1:23" ht="42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4" t="s">
        <v>21</v>
      </c>
      <c r="R2" s="4" t="s">
        <v>22</v>
      </c>
      <c r="S2" s="4" t="s">
        <v>23</v>
      </c>
      <c r="T2" s="4" t="s">
        <v>24</v>
      </c>
      <c r="U2" s="4" t="s">
        <v>25</v>
      </c>
      <c r="V2" s="5" t="s">
        <v>26</v>
      </c>
      <c r="W2" s="5" t="s">
        <v>27</v>
      </c>
    </row>
    <row r="3" spans="1:23" ht="45.95" customHeight="1" x14ac:dyDescent="0.25">
      <c r="A3" s="6" t="s">
        <v>28</v>
      </c>
      <c r="B3" s="6" t="s">
        <v>29</v>
      </c>
      <c r="C3" s="6" t="s">
        <v>30</v>
      </c>
      <c r="D3" s="6" t="s">
        <v>31</v>
      </c>
      <c r="E3" s="6">
        <v>2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/>
      <c r="L3" s="6" t="s">
        <v>37</v>
      </c>
      <c r="M3" s="6" t="s">
        <v>32</v>
      </c>
      <c r="N3" s="6" t="s">
        <v>38</v>
      </c>
      <c r="O3" s="6" t="s">
        <v>39</v>
      </c>
      <c r="P3" s="6" t="s">
        <v>40</v>
      </c>
      <c r="Q3" s="6" t="s">
        <v>41</v>
      </c>
      <c r="R3" s="6">
        <v>38</v>
      </c>
      <c r="S3" s="6">
        <v>6</v>
      </c>
      <c r="T3" s="6" t="s">
        <v>42</v>
      </c>
      <c r="U3" s="6" t="s">
        <v>43</v>
      </c>
      <c r="V3" s="6" t="str">
        <f t="shared" ref="V3:V34" si="0">IF(M3="","",M3&amp;IF(N3&lt;&gt;"","&lt;INSTRUCTION_SEP&gt;"&amp;N3,"")&amp;IF(O3&lt;&gt;"","&lt;INSTRUCTION_SEP&gt;"&amp;O3,""))</f>
        <v>Walk past the coffee machine, turn right at the glass door, and stop in front of the red lockers.&lt;INSTRUCTION_SEP&gt;Head toward the pantry, take a right through the glass door, and wait by the red cabinets.&lt;INSTRUCTION_SEP&gt;Go straight until you reach the glass door, turn right, then stop in front of the lockers.</v>
      </c>
      <c r="W3" s="6" t="s">
        <v>44</v>
      </c>
    </row>
    <row r="4" spans="1:23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 t="str">
        <f t="shared" si="0"/>
        <v/>
      </c>
      <c r="W4" s="7"/>
    </row>
    <row r="5" spans="1:23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 t="str">
        <f t="shared" si="0"/>
        <v/>
      </c>
      <c r="W5" s="7"/>
    </row>
    <row r="6" spans="1:2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 t="str">
        <f t="shared" si="0"/>
        <v/>
      </c>
      <c r="W6" s="7"/>
    </row>
    <row r="7" spans="1:23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 t="str">
        <f t="shared" si="0"/>
        <v/>
      </c>
      <c r="W7" s="7"/>
    </row>
    <row r="8" spans="1:23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 t="str">
        <f t="shared" si="0"/>
        <v/>
      </c>
      <c r="W8" s="7"/>
    </row>
    <row r="9" spans="1:23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 t="str">
        <f t="shared" si="0"/>
        <v/>
      </c>
      <c r="W9" s="7"/>
    </row>
    <row r="10" spans="1:23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 t="str">
        <f t="shared" si="0"/>
        <v/>
      </c>
      <c r="W10" s="7"/>
    </row>
    <row r="11" spans="1:23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 t="str">
        <f t="shared" si="0"/>
        <v/>
      </c>
      <c r="W11" s="7"/>
    </row>
    <row r="12" spans="1:23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 t="str">
        <f t="shared" si="0"/>
        <v/>
      </c>
      <c r="W12" s="7"/>
    </row>
    <row r="13" spans="1:23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 t="str">
        <f t="shared" si="0"/>
        <v/>
      </c>
      <c r="W13" s="7"/>
    </row>
    <row r="14" spans="1:23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 t="str">
        <f t="shared" si="0"/>
        <v/>
      </c>
      <c r="W14" s="7"/>
    </row>
    <row r="15" spans="1:23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 t="str">
        <f t="shared" si="0"/>
        <v/>
      </c>
      <c r="W15" s="7"/>
    </row>
    <row r="16" spans="1:23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 t="str">
        <f t="shared" si="0"/>
        <v/>
      </c>
      <c r="W16" s="7"/>
    </row>
    <row r="17" spans="1:23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 t="str">
        <f t="shared" si="0"/>
        <v/>
      </c>
      <c r="W17" s="7"/>
    </row>
    <row r="18" spans="1:23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 t="str">
        <f t="shared" si="0"/>
        <v/>
      </c>
      <c r="W18" s="7"/>
    </row>
    <row r="19" spans="1:23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 t="str">
        <f t="shared" si="0"/>
        <v/>
      </c>
      <c r="W19" s="7"/>
    </row>
    <row r="20" spans="1:23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 t="str">
        <f t="shared" si="0"/>
        <v/>
      </c>
      <c r="W20" s="7"/>
    </row>
    <row r="21" spans="1:23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 t="str">
        <f t="shared" si="0"/>
        <v/>
      </c>
      <c r="W21" s="7"/>
    </row>
    <row r="22" spans="1:23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 t="str">
        <f t="shared" si="0"/>
        <v/>
      </c>
      <c r="W22" s="7"/>
    </row>
    <row r="23" spans="1:23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 t="str">
        <f t="shared" si="0"/>
        <v/>
      </c>
      <c r="W23" s="7"/>
    </row>
    <row r="24" spans="1:23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 t="str">
        <f t="shared" si="0"/>
        <v/>
      </c>
      <c r="W24" s="7"/>
    </row>
    <row r="25" spans="1:23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 t="str">
        <f t="shared" si="0"/>
        <v/>
      </c>
      <c r="W25" s="7"/>
    </row>
    <row r="26" spans="1:23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 t="str">
        <f t="shared" si="0"/>
        <v/>
      </c>
      <c r="W26" s="7"/>
    </row>
    <row r="27" spans="1:23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 t="str">
        <f t="shared" si="0"/>
        <v/>
      </c>
      <c r="W27" s="7"/>
    </row>
    <row r="28" spans="1:23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 t="str">
        <f t="shared" si="0"/>
        <v/>
      </c>
      <c r="W28" s="7"/>
    </row>
    <row r="29" spans="1:23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 t="str">
        <f t="shared" si="0"/>
        <v/>
      </c>
      <c r="W29" s="7"/>
    </row>
    <row r="30" spans="1:23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 t="str">
        <f t="shared" si="0"/>
        <v/>
      </c>
      <c r="W30" s="7"/>
    </row>
    <row r="31" spans="1:23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 t="str">
        <f t="shared" si="0"/>
        <v/>
      </c>
      <c r="W31" s="7"/>
    </row>
    <row r="32" spans="1:2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 t="str">
        <f t="shared" si="0"/>
        <v/>
      </c>
      <c r="W32" s="7"/>
    </row>
    <row r="33" spans="1:23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 t="str">
        <f t="shared" si="0"/>
        <v/>
      </c>
      <c r="W33" s="7"/>
    </row>
    <row r="34" spans="1:23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 t="str">
        <f t="shared" si="0"/>
        <v/>
      </c>
      <c r="W34" s="7"/>
    </row>
    <row r="35" spans="1:23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 t="str">
        <f t="shared" ref="V35:V66" si="1">IF(M35="","",M35&amp;IF(N35&lt;&gt;"","&lt;INSTRUCTION_SEP&gt;"&amp;N35,"")&amp;IF(O35&lt;&gt;"","&lt;INSTRUCTION_SEP&gt;"&amp;O35,""))</f>
        <v/>
      </c>
      <c r="W35" s="7"/>
    </row>
    <row r="36" spans="1:23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 t="str">
        <f t="shared" si="1"/>
        <v/>
      </c>
      <c r="W36" s="7"/>
    </row>
    <row r="37" spans="1:23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 t="str">
        <f t="shared" si="1"/>
        <v/>
      </c>
      <c r="W37" s="7"/>
    </row>
    <row r="38" spans="1:23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 t="str">
        <f t="shared" si="1"/>
        <v/>
      </c>
      <c r="W38" s="7"/>
    </row>
    <row r="39" spans="1:23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 t="str">
        <f t="shared" si="1"/>
        <v/>
      </c>
      <c r="W39" s="7"/>
    </row>
    <row r="40" spans="1:23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 t="str">
        <f t="shared" si="1"/>
        <v/>
      </c>
      <c r="W40" s="7"/>
    </row>
    <row r="41" spans="1:23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 t="str">
        <f t="shared" si="1"/>
        <v/>
      </c>
      <c r="W41" s="7"/>
    </row>
    <row r="42" spans="1:23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 t="str">
        <f t="shared" si="1"/>
        <v/>
      </c>
      <c r="W42" s="7"/>
    </row>
    <row r="43" spans="1:23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 t="str">
        <f t="shared" si="1"/>
        <v/>
      </c>
      <c r="W43" s="7"/>
    </row>
    <row r="44" spans="1:23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 t="str">
        <f t="shared" si="1"/>
        <v/>
      </c>
      <c r="W44" s="7"/>
    </row>
    <row r="45" spans="1:23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 t="str">
        <f t="shared" si="1"/>
        <v/>
      </c>
      <c r="W45" s="7"/>
    </row>
    <row r="46" spans="1:23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 t="str">
        <f t="shared" si="1"/>
        <v/>
      </c>
      <c r="W46" s="7"/>
    </row>
    <row r="47" spans="1:23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 t="str">
        <f t="shared" si="1"/>
        <v/>
      </c>
      <c r="W47" s="7"/>
    </row>
    <row r="48" spans="1:23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 t="str">
        <f t="shared" si="1"/>
        <v/>
      </c>
      <c r="W48" s="7"/>
    </row>
    <row r="49" spans="1:23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 t="str">
        <f t="shared" si="1"/>
        <v/>
      </c>
      <c r="W49" s="7"/>
    </row>
    <row r="50" spans="1:2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 t="str">
        <f t="shared" si="1"/>
        <v/>
      </c>
      <c r="W50" s="7"/>
    </row>
    <row r="51" spans="1:2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 t="str">
        <f t="shared" si="1"/>
        <v/>
      </c>
      <c r="W51" s="7"/>
    </row>
    <row r="52" spans="1:23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 t="str">
        <f t="shared" si="1"/>
        <v/>
      </c>
      <c r="W52" s="7"/>
    </row>
    <row r="53" spans="1:23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 t="str">
        <f t="shared" si="1"/>
        <v/>
      </c>
      <c r="W53" s="7"/>
    </row>
    <row r="54" spans="1:23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 t="str">
        <f t="shared" si="1"/>
        <v/>
      </c>
      <c r="W54" s="7"/>
    </row>
    <row r="55" spans="1:23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 t="str">
        <f t="shared" si="1"/>
        <v/>
      </c>
      <c r="W55" s="7"/>
    </row>
    <row r="56" spans="1:23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 t="str">
        <f t="shared" si="1"/>
        <v/>
      </c>
      <c r="W56" s="7"/>
    </row>
    <row r="57" spans="1:23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 t="str">
        <f t="shared" si="1"/>
        <v/>
      </c>
      <c r="W57" s="7"/>
    </row>
    <row r="58" spans="1:23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 t="str">
        <f t="shared" si="1"/>
        <v/>
      </c>
      <c r="W58" s="7"/>
    </row>
    <row r="59" spans="1:23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 t="str">
        <f t="shared" si="1"/>
        <v/>
      </c>
      <c r="W59" s="7"/>
    </row>
    <row r="60" spans="1:23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 t="str">
        <f t="shared" si="1"/>
        <v/>
      </c>
      <c r="W60" s="7"/>
    </row>
    <row r="61" spans="1:23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 t="str">
        <f t="shared" si="1"/>
        <v/>
      </c>
      <c r="W61" s="7"/>
    </row>
    <row r="62" spans="1:23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 t="str">
        <f t="shared" si="1"/>
        <v/>
      </c>
      <c r="W62" s="7"/>
    </row>
    <row r="63" spans="1:23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 t="str">
        <f t="shared" si="1"/>
        <v/>
      </c>
      <c r="W63" s="7"/>
    </row>
    <row r="64" spans="1:23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 t="str">
        <f t="shared" si="1"/>
        <v/>
      </c>
      <c r="W64" s="7"/>
    </row>
    <row r="65" spans="1:23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 t="str">
        <f t="shared" si="1"/>
        <v/>
      </c>
      <c r="W65" s="7"/>
    </row>
    <row r="66" spans="1:23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 t="str">
        <f t="shared" si="1"/>
        <v/>
      </c>
      <c r="W66" s="7"/>
    </row>
    <row r="67" spans="1:23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 t="str">
        <f t="shared" ref="V67:V98" si="2">IF(M67="","",M67&amp;IF(N67&lt;&gt;"","&lt;INSTRUCTION_SEP&gt;"&amp;N67,"")&amp;IF(O67&lt;&gt;"","&lt;INSTRUCTION_SEP&gt;"&amp;O67,""))</f>
        <v/>
      </c>
      <c r="W67" s="7"/>
    </row>
    <row r="68" spans="1:23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 t="str">
        <f t="shared" si="2"/>
        <v/>
      </c>
      <c r="W68" s="7"/>
    </row>
    <row r="69" spans="1:23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 t="str">
        <f t="shared" si="2"/>
        <v/>
      </c>
      <c r="W69" s="7"/>
    </row>
    <row r="70" spans="1:23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 t="str">
        <f t="shared" si="2"/>
        <v/>
      </c>
      <c r="W70" s="7"/>
    </row>
    <row r="71" spans="1:23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 t="str">
        <f t="shared" si="2"/>
        <v/>
      </c>
      <c r="W71" s="7"/>
    </row>
    <row r="72" spans="1:23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 t="str">
        <f t="shared" si="2"/>
        <v/>
      </c>
      <c r="W72" s="7"/>
    </row>
    <row r="73" spans="1:23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 t="str">
        <f t="shared" si="2"/>
        <v/>
      </c>
      <c r="W73" s="7"/>
    </row>
    <row r="74" spans="1:23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 t="str">
        <f t="shared" si="2"/>
        <v/>
      </c>
      <c r="W74" s="7"/>
    </row>
    <row r="75" spans="1:23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 t="str">
        <f t="shared" si="2"/>
        <v/>
      </c>
      <c r="W75" s="7"/>
    </row>
    <row r="76" spans="1:23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 t="str">
        <f t="shared" si="2"/>
        <v/>
      </c>
      <c r="W76" s="7"/>
    </row>
    <row r="77" spans="1:23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 t="str">
        <f t="shared" si="2"/>
        <v/>
      </c>
      <c r="W77" s="7"/>
    </row>
    <row r="78" spans="1:23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 t="str">
        <f t="shared" si="2"/>
        <v/>
      </c>
      <c r="W78" s="7"/>
    </row>
    <row r="79" spans="1:23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 t="str">
        <f t="shared" si="2"/>
        <v/>
      </c>
      <c r="W79" s="7"/>
    </row>
    <row r="80" spans="1:23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 t="str">
        <f t="shared" si="2"/>
        <v/>
      </c>
      <c r="W80" s="7"/>
    </row>
    <row r="81" spans="1:23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 t="str">
        <f t="shared" si="2"/>
        <v/>
      </c>
      <c r="W81" s="7"/>
    </row>
    <row r="82" spans="1:23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 t="str">
        <f t="shared" si="2"/>
        <v/>
      </c>
      <c r="W82" s="7"/>
    </row>
    <row r="83" spans="1:23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 t="str">
        <f t="shared" si="2"/>
        <v/>
      </c>
      <c r="W83" s="7"/>
    </row>
    <row r="84" spans="1:23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 t="str">
        <f t="shared" si="2"/>
        <v/>
      </c>
      <c r="W84" s="7"/>
    </row>
    <row r="85" spans="1:23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 t="str">
        <f t="shared" si="2"/>
        <v/>
      </c>
      <c r="W85" s="7"/>
    </row>
    <row r="86" spans="1:23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 t="str">
        <f t="shared" si="2"/>
        <v/>
      </c>
      <c r="W86" s="7"/>
    </row>
    <row r="87" spans="1:23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 t="str">
        <f t="shared" si="2"/>
        <v/>
      </c>
      <c r="W87" s="7"/>
    </row>
    <row r="88" spans="1:23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 t="str">
        <f t="shared" si="2"/>
        <v/>
      </c>
      <c r="W88" s="7"/>
    </row>
    <row r="89" spans="1:23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 t="str">
        <f t="shared" si="2"/>
        <v/>
      </c>
      <c r="W89" s="7"/>
    </row>
    <row r="90" spans="1:23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 t="str">
        <f t="shared" si="2"/>
        <v/>
      </c>
      <c r="W90" s="7"/>
    </row>
    <row r="91" spans="1:23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 t="str">
        <f t="shared" si="2"/>
        <v/>
      </c>
      <c r="W91" s="7"/>
    </row>
    <row r="92" spans="1:23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 t="str">
        <f t="shared" si="2"/>
        <v/>
      </c>
      <c r="W92" s="7"/>
    </row>
    <row r="93" spans="1:23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 t="str">
        <f t="shared" si="2"/>
        <v/>
      </c>
      <c r="W93" s="7"/>
    </row>
    <row r="94" spans="1:23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 t="str">
        <f t="shared" si="2"/>
        <v/>
      </c>
      <c r="W94" s="7"/>
    </row>
    <row r="95" spans="1:23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 t="str">
        <f t="shared" si="2"/>
        <v/>
      </c>
      <c r="W95" s="7"/>
    </row>
    <row r="96" spans="1:23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 t="str">
        <f t="shared" si="2"/>
        <v/>
      </c>
      <c r="W96" s="7"/>
    </row>
    <row r="97" spans="1:23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 t="str">
        <f t="shared" si="2"/>
        <v/>
      </c>
      <c r="W97" s="7"/>
    </row>
    <row r="98" spans="1:23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 t="str">
        <f t="shared" si="2"/>
        <v/>
      </c>
      <c r="W98" s="7"/>
    </row>
    <row r="99" spans="1:23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 t="str">
        <f t="shared" ref="V99:V130" si="3">IF(M99="","",M99&amp;IF(N99&lt;&gt;"","&lt;INSTRUCTION_SEP&gt;"&amp;N99,"")&amp;IF(O99&lt;&gt;"","&lt;INSTRUCTION_SEP&gt;"&amp;O99,""))</f>
        <v/>
      </c>
      <c r="W99" s="7"/>
    </row>
    <row r="100" spans="1:23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 t="str">
        <f t="shared" si="3"/>
        <v/>
      </c>
      <c r="W100" s="7"/>
    </row>
    <row r="101" spans="1:23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 t="str">
        <f t="shared" si="3"/>
        <v/>
      </c>
      <c r="W101" s="7"/>
    </row>
    <row r="102" spans="1:23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 t="str">
        <f t="shared" si="3"/>
        <v/>
      </c>
      <c r="W102" s="7"/>
    </row>
    <row r="103" spans="1:23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 t="str">
        <f t="shared" si="3"/>
        <v/>
      </c>
      <c r="W103" s="7"/>
    </row>
    <row r="104" spans="1:23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 t="str">
        <f t="shared" si="3"/>
        <v/>
      </c>
      <c r="W104" s="7"/>
    </row>
    <row r="105" spans="1:23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 t="str">
        <f t="shared" si="3"/>
        <v/>
      </c>
      <c r="W105" s="7"/>
    </row>
    <row r="106" spans="1:23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 t="str">
        <f t="shared" si="3"/>
        <v/>
      </c>
      <c r="W106" s="7"/>
    </row>
    <row r="107" spans="1:23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 t="str">
        <f t="shared" si="3"/>
        <v/>
      </c>
      <c r="W107" s="7"/>
    </row>
    <row r="108" spans="1:23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 t="str">
        <f t="shared" si="3"/>
        <v/>
      </c>
      <c r="W108" s="7"/>
    </row>
    <row r="109" spans="1:23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 t="str">
        <f t="shared" si="3"/>
        <v/>
      </c>
      <c r="W109" s="7"/>
    </row>
    <row r="110" spans="1:23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 t="str">
        <f t="shared" si="3"/>
        <v/>
      </c>
      <c r="W110" s="7"/>
    </row>
    <row r="111" spans="1:23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 t="str">
        <f t="shared" si="3"/>
        <v/>
      </c>
      <c r="W111" s="7"/>
    </row>
    <row r="112" spans="1:23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 t="str">
        <f t="shared" si="3"/>
        <v/>
      </c>
      <c r="W112" s="7"/>
    </row>
    <row r="113" spans="1:23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 t="str">
        <f t="shared" si="3"/>
        <v/>
      </c>
      <c r="W113" s="7"/>
    </row>
    <row r="114" spans="1:23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 t="str">
        <f t="shared" si="3"/>
        <v/>
      </c>
      <c r="W114" s="7"/>
    </row>
    <row r="115" spans="1:23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 t="str">
        <f t="shared" si="3"/>
        <v/>
      </c>
      <c r="W115" s="7"/>
    </row>
    <row r="116" spans="1:23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 t="str">
        <f t="shared" si="3"/>
        <v/>
      </c>
      <c r="W116" s="7"/>
    </row>
    <row r="117" spans="1:23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 t="str">
        <f t="shared" si="3"/>
        <v/>
      </c>
      <c r="W117" s="7"/>
    </row>
    <row r="118" spans="1:23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 t="str">
        <f t="shared" si="3"/>
        <v/>
      </c>
      <c r="W118" s="7"/>
    </row>
    <row r="119" spans="1:23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 t="str">
        <f t="shared" si="3"/>
        <v/>
      </c>
      <c r="W119" s="7"/>
    </row>
    <row r="120" spans="1:23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 t="str">
        <f t="shared" si="3"/>
        <v/>
      </c>
      <c r="W120" s="7"/>
    </row>
    <row r="121" spans="1:23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 t="str">
        <f t="shared" si="3"/>
        <v/>
      </c>
      <c r="W121" s="7"/>
    </row>
    <row r="122" spans="1:23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 t="str">
        <f t="shared" si="3"/>
        <v/>
      </c>
      <c r="W122" s="7"/>
    </row>
    <row r="123" spans="1:23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 t="str">
        <f t="shared" si="3"/>
        <v/>
      </c>
      <c r="W123" s="7"/>
    </row>
    <row r="124" spans="1:23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 t="str">
        <f t="shared" si="3"/>
        <v/>
      </c>
      <c r="W124" s="7"/>
    </row>
    <row r="125" spans="1:23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 t="str">
        <f t="shared" si="3"/>
        <v/>
      </c>
      <c r="W125" s="7"/>
    </row>
    <row r="126" spans="1:23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 t="str">
        <f t="shared" si="3"/>
        <v/>
      </c>
      <c r="W126" s="7"/>
    </row>
    <row r="127" spans="1:23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 t="str">
        <f t="shared" si="3"/>
        <v/>
      </c>
      <c r="W127" s="7"/>
    </row>
    <row r="128" spans="1:23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 t="str">
        <f t="shared" si="3"/>
        <v/>
      </c>
      <c r="W128" s="7"/>
    </row>
    <row r="129" spans="1:23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 t="str">
        <f t="shared" si="3"/>
        <v/>
      </c>
      <c r="W129" s="7"/>
    </row>
    <row r="130" spans="1:23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 t="str">
        <f t="shared" si="3"/>
        <v/>
      </c>
      <c r="W130" s="7"/>
    </row>
    <row r="131" spans="1:23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 t="str">
        <f t="shared" ref="V131:V162" si="4">IF(M131="","",M131&amp;IF(N131&lt;&gt;"","&lt;INSTRUCTION_SEP&gt;"&amp;N131,"")&amp;IF(O131&lt;&gt;"","&lt;INSTRUCTION_SEP&gt;"&amp;O131,""))</f>
        <v/>
      </c>
      <c r="W131" s="7"/>
    </row>
    <row r="132" spans="1:23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 t="str">
        <f t="shared" si="4"/>
        <v/>
      </c>
      <c r="W132" s="7"/>
    </row>
    <row r="133" spans="1:23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 t="str">
        <f t="shared" si="4"/>
        <v/>
      </c>
      <c r="W133" s="7"/>
    </row>
    <row r="134" spans="1:23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 t="str">
        <f t="shared" si="4"/>
        <v/>
      </c>
      <c r="W134" s="7"/>
    </row>
    <row r="135" spans="1:23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 t="str">
        <f t="shared" si="4"/>
        <v/>
      </c>
      <c r="W135" s="7"/>
    </row>
    <row r="136" spans="1:23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 t="str">
        <f t="shared" si="4"/>
        <v/>
      </c>
      <c r="W136" s="7"/>
    </row>
    <row r="137" spans="1:23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 t="str">
        <f t="shared" si="4"/>
        <v/>
      </c>
      <c r="W137" s="7"/>
    </row>
    <row r="138" spans="1:23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 t="str">
        <f t="shared" si="4"/>
        <v/>
      </c>
      <c r="W138" s="7"/>
    </row>
    <row r="139" spans="1:23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 t="str">
        <f t="shared" si="4"/>
        <v/>
      </c>
      <c r="W139" s="7"/>
    </row>
    <row r="140" spans="1:23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 t="str">
        <f t="shared" si="4"/>
        <v/>
      </c>
      <c r="W140" s="7"/>
    </row>
    <row r="141" spans="1:23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 t="str">
        <f t="shared" si="4"/>
        <v/>
      </c>
      <c r="W141" s="7"/>
    </row>
    <row r="142" spans="1:23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 t="str">
        <f t="shared" si="4"/>
        <v/>
      </c>
      <c r="W142" s="7"/>
    </row>
    <row r="143" spans="1:23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 t="str">
        <f t="shared" si="4"/>
        <v/>
      </c>
      <c r="W143" s="7"/>
    </row>
    <row r="144" spans="1:23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 t="str">
        <f t="shared" si="4"/>
        <v/>
      </c>
      <c r="W144" s="7"/>
    </row>
    <row r="145" spans="1:23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 t="str">
        <f t="shared" si="4"/>
        <v/>
      </c>
      <c r="W145" s="7"/>
    </row>
    <row r="146" spans="1:23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 t="str">
        <f t="shared" si="4"/>
        <v/>
      </c>
      <c r="W146" s="7"/>
    </row>
    <row r="147" spans="1:23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 t="str">
        <f t="shared" si="4"/>
        <v/>
      </c>
      <c r="W147" s="7"/>
    </row>
    <row r="148" spans="1:23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 t="str">
        <f t="shared" si="4"/>
        <v/>
      </c>
      <c r="W148" s="7"/>
    </row>
    <row r="149" spans="1:23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 t="str">
        <f t="shared" si="4"/>
        <v/>
      </c>
      <c r="W149" s="7"/>
    </row>
    <row r="150" spans="1:23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 t="str">
        <f t="shared" si="4"/>
        <v/>
      </c>
      <c r="W150" s="7"/>
    </row>
    <row r="151" spans="1:23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 t="str">
        <f t="shared" si="4"/>
        <v/>
      </c>
      <c r="W151" s="7"/>
    </row>
    <row r="152" spans="1:23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 t="str">
        <f t="shared" si="4"/>
        <v/>
      </c>
      <c r="W152" s="7"/>
    </row>
    <row r="153" spans="1:23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 t="str">
        <f t="shared" si="4"/>
        <v/>
      </c>
      <c r="W153" s="7"/>
    </row>
    <row r="154" spans="1:23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 t="str">
        <f t="shared" si="4"/>
        <v/>
      </c>
      <c r="W154" s="7"/>
    </row>
    <row r="155" spans="1:23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 t="str">
        <f t="shared" si="4"/>
        <v/>
      </c>
      <c r="W155" s="7"/>
    </row>
    <row r="156" spans="1:23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 t="str">
        <f t="shared" si="4"/>
        <v/>
      </c>
      <c r="W156" s="7"/>
    </row>
    <row r="157" spans="1:23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 t="str">
        <f t="shared" si="4"/>
        <v/>
      </c>
      <c r="W157" s="7"/>
    </row>
    <row r="158" spans="1:23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 t="str">
        <f t="shared" si="4"/>
        <v/>
      </c>
      <c r="W158" s="7"/>
    </row>
    <row r="159" spans="1:23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 t="str">
        <f t="shared" si="4"/>
        <v/>
      </c>
      <c r="W159" s="7"/>
    </row>
    <row r="160" spans="1:23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 t="str">
        <f t="shared" si="4"/>
        <v/>
      </c>
      <c r="W160" s="7"/>
    </row>
    <row r="161" spans="1:23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 t="str">
        <f t="shared" si="4"/>
        <v/>
      </c>
      <c r="W161" s="7"/>
    </row>
    <row r="162" spans="1:23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 t="str">
        <f t="shared" si="4"/>
        <v/>
      </c>
      <c r="W162" s="7"/>
    </row>
    <row r="163" spans="1:23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 t="str">
        <f t="shared" ref="V163:V194" si="5">IF(M163="","",M163&amp;IF(N163&lt;&gt;"","&lt;INSTRUCTION_SEP&gt;"&amp;N163,"")&amp;IF(O163&lt;&gt;"","&lt;INSTRUCTION_SEP&gt;"&amp;O163,""))</f>
        <v/>
      </c>
      <c r="W163" s="7"/>
    </row>
    <row r="164" spans="1:23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 t="str">
        <f t="shared" si="5"/>
        <v/>
      </c>
      <c r="W164" s="7"/>
    </row>
    <row r="165" spans="1:23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 t="str">
        <f t="shared" si="5"/>
        <v/>
      </c>
      <c r="W165" s="7"/>
    </row>
    <row r="166" spans="1:23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 t="str">
        <f t="shared" si="5"/>
        <v/>
      </c>
      <c r="W166" s="7"/>
    </row>
    <row r="167" spans="1:23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 t="str">
        <f t="shared" si="5"/>
        <v/>
      </c>
      <c r="W167" s="7"/>
    </row>
    <row r="168" spans="1:23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 t="str">
        <f t="shared" si="5"/>
        <v/>
      </c>
      <c r="W168" s="7"/>
    </row>
    <row r="169" spans="1:23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 t="str">
        <f t="shared" si="5"/>
        <v/>
      </c>
      <c r="W169" s="7"/>
    </row>
    <row r="170" spans="1:23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 t="str">
        <f t="shared" si="5"/>
        <v/>
      </c>
      <c r="W170" s="7"/>
    </row>
    <row r="171" spans="1:23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 t="str">
        <f t="shared" si="5"/>
        <v/>
      </c>
      <c r="W171" s="7"/>
    </row>
    <row r="172" spans="1:23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 t="str">
        <f t="shared" si="5"/>
        <v/>
      </c>
      <c r="W172" s="7"/>
    </row>
    <row r="173" spans="1:23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 t="str">
        <f t="shared" si="5"/>
        <v/>
      </c>
      <c r="W173" s="7"/>
    </row>
    <row r="174" spans="1:23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 t="str">
        <f t="shared" si="5"/>
        <v/>
      </c>
      <c r="W174" s="7"/>
    </row>
    <row r="175" spans="1:23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 t="str">
        <f t="shared" si="5"/>
        <v/>
      </c>
      <c r="W175" s="7"/>
    </row>
    <row r="176" spans="1:23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 t="str">
        <f t="shared" si="5"/>
        <v/>
      </c>
      <c r="W176" s="7"/>
    </row>
    <row r="177" spans="1:23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 t="str">
        <f t="shared" si="5"/>
        <v/>
      </c>
      <c r="W177" s="7"/>
    </row>
    <row r="178" spans="1:23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 t="str">
        <f t="shared" si="5"/>
        <v/>
      </c>
      <c r="W178" s="7"/>
    </row>
    <row r="179" spans="1:23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 t="str">
        <f t="shared" si="5"/>
        <v/>
      </c>
      <c r="W179" s="7"/>
    </row>
    <row r="180" spans="1:23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 t="str">
        <f t="shared" si="5"/>
        <v/>
      </c>
      <c r="W180" s="7"/>
    </row>
    <row r="181" spans="1:23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 t="str">
        <f t="shared" si="5"/>
        <v/>
      </c>
      <c r="W181" s="7"/>
    </row>
    <row r="182" spans="1:23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 t="str">
        <f t="shared" si="5"/>
        <v/>
      </c>
      <c r="W182" s="7"/>
    </row>
    <row r="183" spans="1:23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 t="str">
        <f t="shared" si="5"/>
        <v/>
      </c>
      <c r="W183" s="7"/>
    </row>
    <row r="184" spans="1:23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 t="str">
        <f t="shared" si="5"/>
        <v/>
      </c>
      <c r="W184" s="7"/>
    </row>
    <row r="185" spans="1:23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 t="str">
        <f t="shared" si="5"/>
        <v/>
      </c>
      <c r="W185" s="7"/>
    </row>
    <row r="186" spans="1:23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 t="str">
        <f t="shared" si="5"/>
        <v/>
      </c>
      <c r="W186" s="7"/>
    </row>
    <row r="187" spans="1:23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 t="str">
        <f t="shared" si="5"/>
        <v/>
      </c>
      <c r="W187" s="7"/>
    </row>
    <row r="188" spans="1:23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 t="str">
        <f t="shared" si="5"/>
        <v/>
      </c>
      <c r="W188" s="7"/>
    </row>
    <row r="189" spans="1:23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 t="str">
        <f t="shared" si="5"/>
        <v/>
      </c>
      <c r="W189" s="7"/>
    </row>
    <row r="190" spans="1:23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 t="str">
        <f t="shared" si="5"/>
        <v/>
      </c>
      <c r="W190" s="7"/>
    </row>
    <row r="191" spans="1:23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 t="str">
        <f t="shared" si="5"/>
        <v/>
      </c>
      <c r="W191" s="7"/>
    </row>
    <row r="192" spans="1:23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 t="str">
        <f t="shared" si="5"/>
        <v/>
      </c>
      <c r="W192" s="7"/>
    </row>
    <row r="193" spans="1:23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 t="str">
        <f t="shared" si="5"/>
        <v/>
      </c>
      <c r="W193" s="7"/>
    </row>
    <row r="194" spans="1:23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 t="str">
        <f t="shared" si="5"/>
        <v/>
      </c>
      <c r="W194" s="7"/>
    </row>
    <row r="195" spans="1:23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 t="str">
        <f t="shared" ref="V195:V202" si="6">IF(M195="","",M195&amp;IF(N195&lt;&gt;"","&lt;INSTRUCTION_SEP&gt;"&amp;N195,"")&amp;IF(O195&lt;&gt;"","&lt;INSTRUCTION_SEP&gt;"&amp;O195,""))</f>
        <v/>
      </c>
      <c r="W195" s="7"/>
    </row>
    <row r="196" spans="1:23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 t="str">
        <f t="shared" si="6"/>
        <v/>
      </c>
      <c r="W196" s="7"/>
    </row>
    <row r="197" spans="1:23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 t="str">
        <f t="shared" si="6"/>
        <v/>
      </c>
      <c r="W197" s="7"/>
    </row>
    <row r="198" spans="1:23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 t="str">
        <f t="shared" si="6"/>
        <v/>
      </c>
      <c r="W198" s="7"/>
    </row>
    <row r="199" spans="1:23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 t="str">
        <f t="shared" si="6"/>
        <v/>
      </c>
      <c r="W199" s="7"/>
    </row>
    <row r="200" spans="1:23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 t="str">
        <f t="shared" si="6"/>
        <v/>
      </c>
      <c r="W200" s="7"/>
    </row>
    <row r="201" spans="1:23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 t="str">
        <f t="shared" si="6"/>
        <v/>
      </c>
      <c r="W201" s="7"/>
    </row>
    <row r="202" spans="1:23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 t="str">
        <f t="shared" si="6"/>
        <v/>
      </c>
      <c r="W202" s="7"/>
    </row>
  </sheetData>
  <autoFilter ref="A2:W202" xr:uid="{00000000-0009-0000-0000-000000000000}"/>
  <mergeCells count="5">
    <mergeCell ref="Q1:U1"/>
    <mergeCell ref="A1:F1"/>
    <mergeCell ref="L1:P1"/>
    <mergeCell ref="V1:W1"/>
    <mergeCell ref="G1:K1"/>
  </mergeCells>
  <dataValidations count="5">
    <dataValidation type="list" allowBlank="1" sqref="J3:J202" xr:uid="{00000000-0002-0000-0000-000000000000}">
      <formula1>"OK,Hỏng - quay lại,Hỏng - bỏ"</formula1>
    </dataValidation>
    <dataValidation type="list" allowBlank="1" sqref="P3:P202" xr:uid="{00000000-0002-0000-0000-000001000000}">
      <formula1>"Khớp,Đã sửa,Loại bỏ"</formula1>
    </dataValidation>
    <dataValidation type="list" allowBlank="1" sqref="Q3:Q202" xr:uid="{00000000-0002-0000-0000-000002000000}">
      <formula1>"Rồi,Chưa,Lỗi"</formula1>
    </dataValidation>
    <dataValidation type="list" allowBlank="1" sqref="T3:T202" xr:uid="{00000000-0002-0000-0000-000003000000}">
      <formula1>"Có,Không"</formula1>
    </dataValidation>
    <dataValidation type="list" allowBlank="1" sqref="U3:U202" xr:uid="{00000000-0002-0000-0000-000004000000}">
      <formula1>"Không,Có - DATA HỎNG"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5" x14ac:dyDescent="0.25"/>
  <cols>
    <col min="1" max="1" width="40" customWidth="1"/>
    <col min="2" max="2" width="30" customWidth="1"/>
    <col min="3" max="3" width="78" customWidth="1"/>
  </cols>
  <sheetData>
    <row r="1" spans="1:3" ht="24" customHeight="1" x14ac:dyDescent="0.25">
      <c r="A1" s="24" t="s">
        <v>45</v>
      </c>
      <c r="B1" s="22"/>
      <c r="C1" s="22"/>
    </row>
    <row r="2" spans="1:3" x14ac:dyDescent="0.25">
      <c r="A2" s="8" t="s">
        <v>46</v>
      </c>
      <c r="B2" s="8" t="s">
        <v>47</v>
      </c>
      <c r="C2" s="8" t="s">
        <v>48</v>
      </c>
    </row>
    <row r="3" spans="1:3" ht="20.100000000000001" customHeight="1" x14ac:dyDescent="0.25">
      <c r="A3" s="23" t="s">
        <v>49</v>
      </c>
      <c r="B3" s="22"/>
      <c r="C3" s="22"/>
    </row>
    <row r="4" spans="1:3" ht="24" x14ac:dyDescent="0.25">
      <c r="A4" s="9" t="s">
        <v>50</v>
      </c>
      <c r="B4" s="10"/>
      <c r="C4" s="11" t="s">
        <v>51</v>
      </c>
    </row>
    <row r="5" spans="1:3" x14ac:dyDescent="0.25">
      <c r="A5" s="9" t="s">
        <v>52</v>
      </c>
      <c r="B5" s="10" t="s">
        <v>53</v>
      </c>
      <c r="C5" s="11" t="s">
        <v>54</v>
      </c>
    </row>
    <row r="6" spans="1:3" x14ac:dyDescent="0.25">
      <c r="A6" s="9" t="s">
        <v>55</v>
      </c>
      <c r="B6" s="10" t="s">
        <v>56</v>
      </c>
      <c r="C6" s="11" t="s">
        <v>57</v>
      </c>
    </row>
    <row r="7" spans="1:3" x14ac:dyDescent="0.25">
      <c r="A7" s="9" t="s">
        <v>58</v>
      </c>
      <c r="B7" s="10"/>
      <c r="C7" s="11" t="s">
        <v>59</v>
      </c>
    </row>
    <row r="8" spans="1:3" x14ac:dyDescent="0.25">
      <c r="A8" s="9" t="s">
        <v>60</v>
      </c>
      <c r="B8" s="10"/>
      <c r="C8" s="11" t="s">
        <v>61</v>
      </c>
    </row>
    <row r="9" spans="1:3" x14ac:dyDescent="0.25">
      <c r="A9" s="9" t="s">
        <v>62</v>
      </c>
      <c r="B9" s="10"/>
      <c r="C9" s="11" t="s">
        <v>63</v>
      </c>
    </row>
    <row r="10" spans="1:3" ht="20.100000000000001" customHeight="1" x14ac:dyDescent="0.25">
      <c r="A10" s="23" t="s">
        <v>64</v>
      </c>
      <c r="B10" s="22"/>
      <c r="C10" s="22"/>
    </row>
    <row r="11" spans="1:3" x14ac:dyDescent="0.25">
      <c r="A11" s="9" t="s">
        <v>65</v>
      </c>
      <c r="B11" s="10">
        <v>60</v>
      </c>
      <c r="C11" s="11" t="s">
        <v>66</v>
      </c>
    </row>
    <row r="12" spans="1:3" x14ac:dyDescent="0.25">
      <c r="A12" s="9" t="s">
        <v>67</v>
      </c>
      <c r="B12" s="10">
        <v>30</v>
      </c>
      <c r="C12" s="11" t="s">
        <v>68</v>
      </c>
    </row>
    <row r="13" spans="1:3" ht="24" x14ac:dyDescent="0.25">
      <c r="A13" s="9" t="s">
        <v>69</v>
      </c>
      <c r="B13" s="10">
        <v>30</v>
      </c>
      <c r="C13" s="12" t="s">
        <v>70</v>
      </c>
    </row>
    <row r="14" spans="1:3" x14ac:dyDescent="0.25">
      <c r="A14" s="9" t="s">
        <v>71</v>
      </c>
      <c r="B14" s="10" t="str">
        <f>B11&amp;"cm_"&amp;B13&amp;"deg"</f>
        <v>60cm_30deg</v>
      </c>
      <c r="C14" s="11" t="s">
        <v>72</v>
      </c>
    </row>
    <row r="15" spans="1:3" x14ac:dyDescent="0.25">
      <c r="A15" s="9" t="s">
        <v>73</v>
      </c>
      <c r="B15" s="10">
        <f>IF(B12=B13,1,2)</f>
        <v>1</v>
      </c>
      <c r="C15" s="11" t="s">
        <v>74</v>
      </c>
    </row>
    <row r="16" spans="1:3" x14ac:dyDescent="0.25">
      <c r="A16" s="9" t="s">
        <v>75</v>
      </c>
      <c r="B16" s="10"/>
      <c r="C16" s="11" t="s">
        <v>76</v>
      </c>
    </row>
    <row r="17" spans="1:3" x14ac:dyDescent="0.25">
      <c r="A17" s="9" t="s">
        <v>77</v>
      </c>
      <c r="B17" s="10"/>
      <c r="C17" s="11" t="s">
        <v>78</v>
      </c>
    </row>
    <row r="18" spans="1:3" ht="20.100000000000001" customHeight="1" x14ac:dyDescent="0.25">
      <c r="A18" s="23" t="s">
        <v>79</v>
      </c>
      <c r="B18" s="22"/>
      <c r="C18" s="22"/>
    </row>
    <row r="19" spans="1:3" x14ac:dyDescent="0.25">
      <c r="A19" s="9" t="s">
        <v>80</v>
      </c>
      <c r="B19" s="10" t="s">
        <v>81</v>
      </c>
      <c r="C19" s="11" t="s">
        <v>82</v>
      </c>
    </row>
    <row r="20" spans="1:3" x14ac:dyDescent="0.25">
      <c r="A20" s="9" t="s">
        <v>83</v>
      </c>
      <c r="B20" s="10" t="s">
        <v>84</v>
      </c>
      <c r="C20" s="11" t="s">
        <v>85</v>
      </c>
    </row>
    <row r="21" spans="1:3" x14ac:dyDescent="0.25">
      <c r="A21" s="9" t="s">
        <v>86</v>
      </c>
      <c r="B21" s="10" t="str">
        <f>"office_"&amp;B11&amp;"cm_"&amp;B12&amp;"_"&amp;B13</f>
        <v>office_60cm_30_30</v>
      </c>
      <c r="C21" s="11" t="s">
        <v>87</v>
      </c>
    </row>
    <row r="22" spans="1:3" x14ac:dyDescent="0.25">
      <c r="A22" s="9" t="s">
        <v>88</v>
      </c>
      <c r="B22" s="10" t="str">
        <f>"goal."&amp;B14</f>
        <v>goal.60cm_30deg</v>
      </c>
      <c r="C22" s="11" t="s">
        <v>89</v>
      </c>
    </row>
    <row r="23" spans="1:3" x14ac:dyDescent="0.25">
      <c r="A23" s="9" t="s">
        <v>90</v>
      </c>
      <c r="B23" s="10" t="str">
        <f>"relative_goal_frame_id."&amp;B14</f>
        <v>relative_goal_frame_id.60cm_30deg</v>
      </c>
      <c r="C23" s="11"/>
    </row>
    <row r="24" spans="1:3" x14ac:dyDescent="0.25">
      <c r="A24" s="9" t="s">
        <v>91</v>
      </c>
      <c r="B24" s="10" t="str">
        <f>"pose."&amp;B14</f>
        <v>pose.60cm_30deg</v>
      </c>
      <c r="C24" s="11" t="s">
        <v>92</v>
      </c>
    </row>
    <row r="25" spans="1:3" ht="24" x14ac:dyDescent="0.25">
      <c r="A25" s="9" t="s">
        <v>93</v>
      </c>
      <c r="B25" s="10"/>
      <c r="C25" s="12" t="s">
        <v>94</v>
      </c>
    </row>
    <row r="26" spans="1:3" ht="20.100000000000001" customHeight="1" x14ac:dyDescent="0.25">
      <c r="A26" s="23" t="s">
        <v>95</v>
      </c>
      <c r="B26" s="22"/>
      <c r="C26" s="22"/>
    </row>
    <row r="27" spans="1:3" x14ac:dyDescent="0.25">
      <c r="A27" s="9" t="s">
        <v>96</v>
      </c>
      <c r="B27" s="10">
        <v>0.15</v>
      </c>
      <c r="C27" s="11" t="s">
        <v>97</v>
      </c>
    </row>
    <row r="28" spans="1:3" x14ac:dyDescent="0.25">
      <c r="A28" s="9" t="s">
        <v>98</v>
      </c>
      <c r="B28" s="10">
        <v>1</v>
      </c>
      <c r="C28" s="11" t="s">
        <v>99</v>
      </c>
    </row>
    <row r="29" spans="1:3" x14ac:dyDescent="0.25">
      <c r="A29" s="9" t="s">
        <v>100</v>
      </c>
      <c r="B29" s="10"/>
      <c r="C29" s="11" t="s">
        <v>101</v>
      </c>
    </row>
    <row r="30" spans="1:3" x14ac:dyDescent="0.25">
      <c r="A30" s="9" t="s">
        <v>102</v>
      </c>
      <c r="B30" s="10" t="s">
        <v>103</v>
      </c>
      <c r="C30" s="11" t="s">
        <v>104</v>
      </c>
    </row>
  </sheetData>
  <mergeCells count="5">
    <mergeCell ref="A10:C10"/>
    <mergeCell ref="A1:C1"/>
    <mergeCell ref="A18:C18"/>
    <mergeCell ref="A3:C3"/>
    <mergeCell ref="A26:C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6" customWidth="1"/>
    <col min="2" max="2" width="26" customWidth="1"/>
    <col min="3" max="3" width="34" customWidth="1"/>
    <col min="4" max="4" width="18" customWidth="1"/>
    <col min="5" max="5" width="16" customWidth="1"/>
    <col min="6" max="6" width="40" customWidth="1"/>
  </cols>
  <sheetData>
    <row r="1" spans="1:6" ht="21.95" customHeight="1" x14ac:dyDescent="0.25">
      <c r="A1" s="21" t="s">
        <v>105</v>
      </c>
      <c r="B1" s="22"/>
      <c r="C1" s="22"/>
      <c r="D1" s="22"/>
      <c r="E1" s="22"/>
      <c r="F1" s="22"/>
    </row>
    <row r="2" spans="1:6" ht="30" x14ac:dyDescent="0.25">
      <c r="A2" s="13" t="s">
        <v>106</v>
      </c>
      <c r="B2" s="13" t="s">
        <v>107</v>
      </c>
      <c r="C2" s="13" t="s">
        <v>108</v>
      </c>
      <c r="D2" s="13" t="s">
        <v>7</v>
      </c>
      <c r="E2" s="13" t="s">
        <v>109</v>
      </c>
      <c r="F2" s="13" t="s">
        <v>27</v>
      </c>
    </row>
    <row r="3" spans="1:6" x14ac:dyDescent="0.25">
      <c r="A3" s="6">
        <v>1</v>
      </c>
      <c r="B3" s="6" t="s">
        <v>110</v>
      </c>
      <c r="C3" s="6" t="s">
        <v>111</v>
      </c>
      <c r="D3" s="6" t="s">
        <v>112</v>
      </c>
      <c r="E3" s="6" t="s">
        <v>42</v>
      </c>
      <c r="F3" s="6" t="s">
        <v>113</v>
      </c>
    </row>
    <row r="4" spans="1:6" x14ac:dyDescent="0.25">
      <c r="A4" s="6">
        <v>2</v>
      </c>
      <c r="B4" s="6" t="s">
        <v>114</v>
      </c>
      <c r="C4" s="6" t="s">
        <v>115</v>
      </c>
      <c r="D4" s="6" t="s">
        <v>30</v>
      </c>
      <c r="E4" s="6" t="s">
        <v>42</v>
      </c>
      <c r="F4" s="6" t="s">
        <v>116</v>
      </c>
    </row>
    <row r="5" spans="1:6" x14ac:dyDescent="0.25">
      <c r="A5" s="6">
        <v>3</v>
      </c>
      <c r="B5" s="6" t="s">
        <v>117</v>
      </c>
      <c r="C5" s="6" t="s">
        <v>118</v>
      </c>
      <c r="D5" s="6" t="s">
        <v>119</v>
      </c>
      <c r="E5" s="6" t="s">
        <v>42</v>
      </c>
      <c r="F5" s="6" t="s">
        <v>116</v>
      </c>
    </row>
    <row r="6" spans="1:6" x14ac:dyDescent="0.25">
      <c r="A6" s="6">
        <v>4</v>
      </c>
      <c r="B6" s="6" t="s">
        <v>120</v>
      </c>
      <c r="C6" s="6" t="s">
        <v>121</v>
      </c>
      <c r="D6" s="6" t="s">
        <v>30</v>
      </c>
      <c r="E6" s="6" t="s">
        <v>42</v>
      </c>
      <c r="F6" s="6" t="s">
        <v>116</v>
      </c>
    </row>
    <row r="7" spans="1:6" x14ac:dyDescent="0.25">
      <c r="A7" s="6">
        <v>5</v>
      </c>
      <c r="B7" s="6" t="s">
        <v>122</v>
      </c>
      <c r="C7" s="6" t="s">
        <v>123</v>
      </c>
      <c r="D7" s="6" t="s">
        <v>124</v>
      </c>
      <c r="E7" s="6" t="s">
        <v>125</v>
      </c>
      <c r="F7" s="6" t="s">
        <v>116</v>
      </c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</sheetData>
  <mergeCells count="1">
    <mergeCell ref="A1:F1"/>
  </mergeCells>
  <dataValidations count="1">
    <dataValidation type="list" allowBlank="1" sqref="E3:E60" xr:uid="{00000000-0002-0000-0200-000000000000}">
      <formula1>"Có,Vừa,Khó"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>
      <pane ySplit="2" topLeftCell="A52" activePane="bottomLeft" state="frozen"/>
      <selection pane="bottomLeft" activeCell="B15" sqref="B15"/>
    </sheetView>
  </sheetViews>
  <sheetFormatPr defaultRowHeight="15" x14ac:dyDescent="0.25"/>
  <cols>
    <col min="1" max="1" width="34" customWidth="1"/>
    <col min="2" max="2" width="108" customWidth="1"/>
  </cols>
  <sheetData>
    <row r="1" spans="1:2" ht="27.95" customHeight="1" x14ac:dyDescent="0.25">
      <c r="A1" s="26" t="s">
        <v>126</v>
      </c>
      <c r="B1" s="22"/>
    </row>
    <row r="3" spans="1:2" ht="21.95" customHeight="1" x14ac:dyDescent="0.25">
      <c r="A3" s="25" t="s">
        <v>127</v>
      </c>
      <c r="B3" s="22"/>
    </row>
    <row r="4" spans="1:2" x14ac:dyDescent="0.25">
      <c r="A4" s="9" t="s">
        <v>128</v>
      </c>
      <c r="B4" s="14"/>
    </row>
    <row r="5" spans="1:2" x14ac:dyDescent="0.25">
      <c r="A5" s="9" t="s">
        <v>129</v>
      </c>
      <c r="B5" s="14"/>
    </row>
    <row r="6" spans="1:2" x14ac:dyDescent="0.25">
      <c r="A6" s="9" t="s">
        <v>130</v>
      </c>
      <c r="B6" s="14" t="s">
        <v>131</v>
      </c>
    </row>
    <row r="7" spans="1:2" ht="21.95" customHeight="1" x14ac:dyDescent="0.25">
      <c r="A7" s="25" t="s">
        <v>132</v>
      </c>
      <c r="B7" s="22"/>
    </row>
    <row r="8" spans="1:2" ht="38.25" x14ac:dyDescent="0.25">
      <c r="A8" s="9" t="s">
        <v>133</v>
      </c>
      <c r="B8" s="14" t="s">
        <v>134</v>
      </c>
    </row>
    <row r="9" spans="1:2" ht="38.25" x14ac:dyDescent="0.25">
      <c r="A9" s="9" t="s">
        <v>135</v>
      </c>
      <c r="B9" s="14" t="s">
        <v>136</v>
      </c>
    </row>
    <row r="10" spans="1:2" ht="25.5" x14ac:dyDescent="0.25">
      <c r="A10" s="9" t="s">
        <v>137</v>
      </c>
      <c r="B10" s="14" t="s">
        <v>138</v>
      </c>
    </row>
    <row r="11" spans="1:2" x14ac:dyDescent="0.25">
      <c r="A11" s="9" t="s">
        <v>139</v>
      </c>
      <c r="B11" s="14" t="s">
        <v>140</v>
      </c>
    </row>
    <row r="12" spans="1:2" x14ac:dyDescent="0.25">
      <c r="A12" s="9" t="s">
        <v>141</v>
      </c>
      <c r="B12" s="14" t="s">
        <v>142</v>
      </c>
    </row>
    <row r="13" spans="1:2" ht="21.95" customHeight="1" x14ac:dyDescent="0.25">
      <c r="A13" s="25" t="s">
        <v>245</v>
      </c>
      <c r="B13" s="22"/>
    </row>
    <row r="14" spans="1:2" ht="38.25" x14ac:dyDescent="0.25">
      <c r="A14" s="15" t="s">
        <v>143</v>
      </c>
      <c r="B14" s="16" t="s">
        <v>144</v>
      </c>
    </row>
    <row r="15" spans="1:2" ht="25.5" x14ac:dyDescent="0.25">
      <c r="A15" s="15" t="s">
        <v>145</v>
      </c>
      <c r="B15" s="16" t="s">
        <v>146</v>
      </c>
    </row>
    <row r="16" spans="1:2" x14ac:dyDescent="0.25">
      <c r="A16" s="15" t="s">
        <v>147</v>
      </c>
      <c r="B16" s="16" t="s">
        <v>148</v>
      </c>
    </row>
    <row r="17" spans="1:2" ht="38.25" x14ac:dyDescent="0.25">
      <c r="A17" s="9" t="s">
        <v>149</v>
      </c>
      <c r="B17" s="14" t="s">
        <v>150</v>
      </c>
    </row>
    <row r="18" spans="1:2" ht="21.95" customHeight="1" x14ac:dyDescent="0.25">
      <c r="A18" s="25" t="s">
        <v>151</v>
      </c>
      <c r="B18" s="22"/>
    </row>
    <row r="19" spans="1:2" x14ac:dyDescent="0.25">
      <c r="A19" s="10" t="s">
        <v>152</v>
      </c>
      <c r="B19" s="14" t="s">
        <v>153</v>
      </c>
    </row>
    <row r="20" spans="1:2" x14ac:dyDescent="0.25">
      <c r="A20" s="10" t="s">
        <v>154</v>
      </c>
      <c r="B20" s="14" t="s">
        <v>155</v>
      </c>
    </row>
    <row r="21" spans="1:2" x14ac:dyDescent="0.25">
      <c r="A21" s="10" t="s">
        <v>156</v>
      </c>
      <c r="B21" s="14" t="s">
        <v>157</v>
      </c>
    </row>
    <row r="22" spans="1:2" x14ac:dyDescent="0.25">
      <c r="A22" s="10" t="s">
        <v>158</v>
      </c>
      <c r="B22" s="14" t="s">
        <v>159</v>
      </c>
    </row>
    <row r="23" spans="1:2" ht="25.5" x14ac:dyDescent="0.25">
      <c r="A23" s="10" t="s">
        <v>160</v>
      </c>
      <c r="B23" s="14" t="s">
        <v>161</v>
      </c>
    </row>
    <row r="24" spans="1:2" x14ac:dyDescent="0.25">
      <c r="A24" s="10" t="s">
        <v>162</v>
      </c>
      <c r="B24" s="14" t="s">
        <v>163</v>
      </c>
    </row>
    <row r="25" spans="1:2" ht="21.95" customHeight="1" x14ac:dyDescent="0.25">
      <c r="A25" s="25" t="s">
        <v>164</v>
      </c>
      <c r="B25" s="22"/>
    </row>
    <row r="26" spans="1:2" x14ac:dyDescent="0.25">
      <c r="A26" s="10" t="s">
        <v>165</v>
      </c>
      <c r="B26" s="14" t="s">
        <v>166</v>
      </c>
    </row>
    <row r="27" spans="1:2" ht="25.5" x14ac:dyDescent="0.25">
      <c r="A27" s="10" t="s">
        <v>167</v>
      </c>
      <c r="B27" s="14" t="s">
        <v>168</v>
      </c>
    </row>
    <row r="28" spans="1:2" x14ac:dyDescent="0.25">
      <c r="A28" s="10" t="s">
        <v>169</v>
      </c>
      <c r="B28" s="14" t="s">
        <v>170</v>
      </c>
    </row>
    <row r="29" spans="1:2" x14ac:dyDescent="0.25">
      <c r="A29" s="10" t="s">
        <v>171</v>
      </c>
      <c r="B29" s="14" t="s">
        <v>172</v>
      </c>
    </row>
    <row r="30" spans="1:2" ht="25.5" x14ac:dyDescent="0.25">
      <c r="A30" s="10" t="s">
        <v>173</v>
      </c>
      <c r="B30" s="14" t="s">
        <v>174</v>
      </c>
    </row>
    <row r="31" spans="1:2" ht="21.95" customHeight="1" x14ac:dyDescent="0.25">
      <c r="A31" s="25" t="s">
        <v>175</v>
      </c>
      <c r="B31" s="22"/>
    </row>
    <row r="32" spans="1:2" x14ac:dyDescent="0.25">
      <c r="A32" s="10" t="s">
        <v>152</v>
      </c>
      <c r="B32" s="14" t="s">
        <v>176</v>
      </c>
    </row>
    <row r="33" spans="1:2" x14ac:dyDescent="0.25">
      <c r="A33" s="10" t="s">
        <v>154</v>
      </c>
      <c r="B33" s="14" t="s">
        <v>177</v>
      </c>
    </row>
    <row r="34" spans="1:2" x14ac:dyDescent="0.25">
      <c r="A34" s="10" t="s">
        <v>156</v>
      </c>
      <c r="B34" s="14" t="s">
        <v>178</v>
      </c>
    </row>
    <row r="35" spans="1:2" ht="21.95" customHeight="1" x14ac:dyDescent="0.25">
      <c r="A35" s="25" t="s">
        <v>179</v>
      </c>
      <c r="B35" s="22"/>
    </row>
    <row r="36" spans="1:2" ht="38.25" x14ac:dyDescent="0.25">
      <c r="A36" s="9" t="s">
        <v>180</v>
      </c>
      <c r="B36" s="14" t="s">
        <v>181</v>
      </c>
    </row>
    <row r="37" spans="1:2" ht="51" x14ac:dyDescent="0.25">
      <c r="A37" s="17" t="s">
        <v>182</v>
      </c>
      <c r="B37" s="18" t="s">
        <v>183</v>
      </c>
    </row>
    <row r="38" spans="1:2" ht="63.75" x14ac:dyDescent="0.25">
      <c r="A38" s="15" t="s">
        <v>184</v>
      </c>
      <c r="B38" s="16" t="s">
        <v>185</v>
      </c>
    </row>
    <row r="39" spans="1:2" ht="21.95" customHeight="1" x14ac:dyDescent="0.25">
      <c r="A39" s="25" t="s">
        <v>186</v>
      </c>
      <c r="B39" s="22"/>
    </row>
    <row r="40" spans="1:2" ht="51" x14ac:dyDescent="0.25">
      <c r="A40" s="9" t="s">
        <v>187</v>
      </c>
      <c r="B40" s="14" t="s">
        <v>188</v>
      </c>
    </row>
    <row r="41" spans="1:2" x14ac:dyDescent="0.25">
      <c r="A41" s="9" t="s">
        <v>189</v>
      </c>
      <c r="B41" s="14" t="s">
        <v>190</v>
      </c>
    </row>
    <row r="42" spans="1:2" ht="21.95" customHeight="1" x14ac:dyDescent="0.25">
      <c r="A42" s="25" t="s">
        <v>191</v>
      </c>
      <c r="B42" s="22"/>
    </row>
    <row r="43" spans="1:2" ht="102" x14ac:dyDescent="0.25">
      <c r="A43" s="15" t="s">
        <v>192</v>
      </c>
      <c r="B43" s="16" t="s">
        <v>193</v>
      </c>
    </row>
    <row r="44" spans="1:2" ht="21.95" customHeight="1" x14ac:dyDescent="0.25">
      <c r="A44" s="25" t="s">
        <v>194</v>
      </c>
      <c r="B44" s="22"/>
    </row>
    <row r="45" spans="1:2" ht="25.5" x14ac:dyDescent="0.25">
      <c r="A45" s="9" t="s">
        <v>195</v>
      </c>
      <c r="B45" s="14" t="s">
        <v>196</v>
      </c>
    </row>
    <row r="46" spans="1:2" x14ac:dyDescent="0.25">
      <c r="A46" s="9" t="s">
        <v>197</v>
      </c>
      <c r="B46" s="14" t="s">
        <v>198</v>
      </c>
    </row>
    <row r="47" spans="1:2" ht="51" x14ac:dyDescent="0.25">
      <c r="A47" s="9" t="s">
        <v>199</v>
      </c>
      <c r="B47" s="14" t="s">
        <v>200</v>
      </c>
    </row>
    <row r="48" spans="1:2" ht="38.25" x14ac:dyDescent="0.25">
      <c r="A48" s="9" t="s">
        <v>201</v>
      </c>
      <c r="B48" s="14" t="s">
        <v>202</v>
      </c>
    </row>
    <row r="49" spans="1:2" ht="21.95" customHeight="1" x14ac:dyDescent="0.25">
      <c r="A49" s="25" t="s">
        <v>203</v>
      </c>
      <c r="B49" s="22"/>
    </row>
    <row r="50" spans="1:2" x14ac:dyDescent="0.25">
      <c r="A50" s="15" t="s">
        <v>204</v>
      </c>
      <c r="B50" s="16" t="s">
        <v>205</v>
      </c>
    </row>
    <row r="51" spans="1:2" x14ac:dyDescent="0.25">
      <c r="A51" s="15" t="s">
        <v>206</v>
      </c>
      <c r="B51" s="16" t="s">
        <v>207</v>
      </c>
    </row>
    <row r="52" spans="1:2" x14ac:dyDescent="0.25">
      <c r="A52" s="15" t="s">
        <v>208</v>
      </c>
      <c r="B52" s="16" t="s">
        <v>209</v>
      </c>
    </row>
    <row r="53" spans="1:2" ht="25.5" x14ac:dyDescent="0.25">
      <c r="A53" s="15" t="s">
        <v>210</v>
      </c>
      <c r="B53" s="16" t="s">
        <v>211</v>
      </c>
    </row>
    <row r="54" spans="1:2" x14ac:dyDescent="0.25">
      <c r="A54" s="15" t="s">
        <v>212</v>
      </c>
      <c r="B54" s="16" t="s">
        <v>213</v>
      </c>
    </row>
    <row r="55" spans="1:2" x14ac:dyDescent="0.25">
      <c r="A55" s="15" t="s">
        <v>214</v>
      </c>
      <c r="B55" s="16" t="s">
        <v>215</v>
      </c>
    </row>
    <row r="56" spans="1:2" x14ac:dyDescent="0.25">
      <c r="A56" s="15" t="s">
        <v>216</v>
      </c>
      <c r="B56" s="16" t="s">
        <v>217</v>
      </c>
    </row>
    <row r="57" spans="1:2" x14ac:dyDescent="0.25">
      <c r="A57" s="15" t="s">
        <v>218</v>
      </c>
      <c r="B57" s="16" t="s">
        <v>219</v>
      </c>
    </row>
    <row r="58" spans="1:2" x14ac:dyDescent="0.25">
      <c r="A58" s="15" t="s">
        <v>220</v>
      </c>
      <c r="B58" s="16" t="s">
        <v>221</v>
      </c>
    </row>
    <row r="59" spans="1:2" x14ac:dyDescent="0.25">
      <c r="A59" s="15" t="s">
        <v>222</v>
      </c>
      <c r="B59" s="16" t="s">
        <v>223</v>
      </c>
    </row>
    <row r="60" spans="1:2" x14ac:dyDescent="0.25">
      <c r="A60" s="15" t="s">
        <v>224</v>
      </c>
      <c r="B60" s="16" t="s">
        <v>225</v>
      </c>
    </row>
    <row r="61" spans="1:2" ht="21.95" customHeight="1" x14ac:dyDescent="0.25">
      <c r="A61" s="25" t="s">
        <v>226</v>
      </c>
      <c r="B61" s="22"/>
    </row>
    <row r="62" spans="1:2" ht="25.5" x14ac:dyDescent="0.25">
      <c r="A62" s="19" t="s">
        <v>227</v>
      </c>
      <c r="B62" s="20" t="s">
        <v>228</v>
      </c>
    </row>
    <row r="63" spans="1:2" ht="25.5" x14ac:dyDescent="0.25">
      <c r="A63" s="19" t="s">
        <v>229</v>
      </c>
      <c r="B63" s="20" t="s">
        <v>230</v>
      </c>
    </row>
    <row r="64" spans="1:2" ht="51" x14ac:dyDescent="0.25">
      <c r="A64" s="19" t="s">
        <v>231</v>
      </c>
      <c r="B64" s="20" t="s">
        <v>232</v>
      </c>
    </row>
    <row r="65" spans="1:2" x14ac:dyDescent="0.25">
      <c r="A65" s="19" t="s">
        <v>103</v>
      </c>
      <c r="B65" s="20" t="s">
        <v>233</v>
      </c>
    </row>
    <row r="66" spans="1:2" ht="21.95" customHeight="1" x14ac:dyDescent="0.25">
      <c r="A66" s="25" t="s">
        <v>234</v>
      </c>
      <c r="B66" s="22"/>
    </row>
    <row r="67" spans="1:2" x14ac:dyDescent="0.25">
      <c r="A67" s="9" t="s">
        <v>235</v>
      </c>
      <c r="B67" s="14" t="s">
        <v>236</v>
      </c>
    </row>
    <row r="68" spans="1:2" x14ac:dyDescent="0.25">
      <c r="A68" s="9" t="s">
        <v>237</v>
      </c>
      <c r="B68" s="14" t="s">
        <v>238</v>
      </c>
    </row>
    <row r="69" spans="1:2" x14ac:dyDescent="0.25">
      <c r="A69" s="9" t="s">
        <v>239</v>
      </c>
      <c r="B69" s="14" t="s">
        <v>240</v>
      </c>
    </row>
    <row r="70" spans="1:2" x14ac:dyDescent="0.25">
      <c r="A70" s="9" t="s">
        <v>241</v>
      </c>
      <c r="B70" s="14" t="s">
        <v>242</v>
      </c>
    </row>
    <row r="71" spans="1:2" x14ac:dyDescent="0.25">
      <c r="A71" s="9" t="s">
        <v>243</v>
      </c>
      <c r="B71" s="14" t="s">
        <v>244</v>
      </c>
    </row>
  </sheetData>
  <mergeCells count="14">
    <mergeCell ref="A66:B66"/>
    <mergeCell ref="A44:B44"/>
    <mergeCell ref="A1:B1"/>
    <mergeCell ref="A18:B18"/>
    <mergeCell ref="A31:B31"/>
    <mergeCell ref="A3:B3"/>
    <mergeCell ref="A39:B39"/>
    <mergeCell ref="A35:B35"/>
    <mergeCell ref="A7:B7"/>
    <mergeCell ref="A25:B25"/>
    <mergeCell ref="A49:B49"/>
    <mergeCell ref="A61:B61"/>
    <mergeCell ref="A42:B42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1_LOG_QUAY</vt:lpstr>
      <vt:lpstr>2_CAU_HINH_CAMERA</vt:lpstr>
      <vt:lpstr>3_MOC_VAN_PHONG</vt:lpstr>
      <vt:lpstr>4_HUONG_DAN_QUAY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Nguyen Tung</cp:lastModifiedBy>
  <dcterms:created xsi:type="dcterms:W3CDTF">2026-07-31T03:42:14Z</dcterms:created>
  <dcterms:modified xsi:type="dcterms:W3CDTF">2026-07-31T03:47:27Z</dcterms:modified>
</cp:coreProperties>
</file>